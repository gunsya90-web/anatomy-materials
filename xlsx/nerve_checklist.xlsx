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4" autoFilterDateGrouping="1"/>
  </bookViews>
  <sheets>
    <sheet name="00_대시보드" sheetId="1" state="visible" r:id="rId1"/>
    <sheet name="00_뇌신경" sheetId="2" state="visible" r:id="rId2"/>
    <sheet name="01_목신경얼기" sheetId="3" state="visible" r:id="rId3"/>
    <sheet name="02_팔신경얼기" sheetId="4" state="visible" r:id="rId4"/>
    <sheet name="03_가슴신경" sheetId="5" state="visible" r:id="rId5"/>
    <sheet name="04_허리신경얼기" sheetId="6" state="visible" r:id="rId6"/>
    <sheet name="05_엉치신경얼기" sheetId="7" state="visible" r:id="rId7"/>
  </sheets>
  <definedNames>
    <definedName name="_xlnm._FilterDatabase" localSheetId="0" hidden="1">'00_대시보드'!$A$2:$E$8</definedName>
    <definedName name="_xlnm._FilterDatabase" localSheetId="1" hidden="1">'00_뇌신경'!$A$2:$M$16</definedName>
    <definedName name="_xlnm._FilterDatabase" localSheetId="2" hidden="1">'01_목신경얼기'!$A$2:$M$8</definedName>
    <definedName name="_xlnm._FilterDatabase" localSheetId="3" hidden="1">'02_팔신경얼기'!$A$2:$M$11</definedName>
    <definedName name="_xlnm._FilterDatabase" localSheetId="4" hidden="1">'03_가슴신경'!$A$2:$M$4</definedName>
    <definedName name="_xlnm._FilterDatabase" localSheetId="5" hidden="1">'04_허리신경얼기'!$A$2:$M$8</definedName>
    <definedName name="_xlnm._FilterDatabase" localSheetId="6" hidden="1">'05_엉치신경얼기'!$A$2:$M$9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charset val="1"/>
      <family val="2"/>
      <color theme="1"/>
      <sz val="11"/>
    </font>
    <font>
      <name val="Noto Sans CJK SC"/>
      <family val="2"/>
      <b val="1"/>
      <color rgb="FFFFFFFF"/>
      <sz val="18"/>
    </font>
    <font>
      <name val="Noto Sans CJK SC"/>
      <family val="2"/>
      <b val="1"/>
      <color rgb="FFFFFFFF"/>
      <sz val="11"/>
    </font>
    <font>
      <name val="Noto Sans CJK SC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Noto Sans CJK SC"/>
      <family val="2"/>
      <b val="1"/>
      <sz val="11"/>
    </font>
    <font>
      <name val="맑은 고딕"/>
      <charset val="129"/>
      <family val="3"/>
      <b val="1"/>
      <sz val="11"/>
    </font>
    <font>
      <name val="Noto Sans CJK SC"/>
      <family val="2"/>
      <i val="1"/>
      <color rgb="FF444444"/>
      <sz val="10"/>
    </font>
    <font>
      <name val="맑은 고딕"/>
      <charset val="129"/>
      <family val="3"/>
      <i val="1"/>
      <color rgb="FF444444"/>
      <sz val="10"/>
    </font>
    <font>
      <name val="Noto Sans CJK SC"/>
      <family val="2"/>
      <b val="1"/>
      <color rgb="FFFFFFFF"/>
      <sz val="16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9A7D0A"/>
      <sz val="13"/>
    </font>
    <font>
      <name val="Noto Sans CJK SC"/>
      <family val="2"/>
      <b val="1"/>
      <color rgb="FF7D6608"/>
      <sz val="10"/>
    </font>
    <font>
      <name val="맑은 고딕"/>
      <charset val="129"/>
      <family val="3"/>
      <b val="1"/>
      <color rgb="FF7D6608"/>
      <sz val="10"/>
    </font>
    <font>
      <name val="Noto Sans CJK SC"/>
      <family val="2"/>
      <sz val="10"/>
    </font>
    <font>
      <name val="돋움"/>
      <charset val="129"/>
      <family val="3"/>
      <sz val="8"/>
    </font>
  </fonts>
  <fills count="9">
    <fill>
      <patternFill/>
    </fill>
    <fill>
      <patternFill patternType="gray125"/>
    </fill>
    <fill>
      <patternFill patternType="solid">
        <fgColor rgb="FF7D6608"/>
        <bgColor rgb="FF9A7D0A"/>
      </patternFill>
    </fill>
    <fill>
      <patternFill patternType="solid">
        <fgColor rgb="FFF7F0DC"/>
        <bgColor rgb="FFFFFFFF"/>
      </patternFill>
    </fill>
    <fill>
      <patternFill patternType="solid">
        <fgColor rgb="FFB7950B"/>
        <bgColor rgb="FFD4AC0D"/>
      </patternFill>
    </fill>
    <fill>
      <patternFill patternType="solid">
        <fgColor rgb="FFD4AC0D"/>
        <bgColor rgb="FFB7950B"/>
      </patternFill>
    </fill>
    <fill>
      <patternFill patternType="solid">
        <fgColor rgb="FFF1C40F"/>
        <bgColor rgb="FFD4AC0D"/>
      </patternFill>
    </fill>
    <fill>
      <patternFill patternType="solid">
        <fgColor rgb="FFF7DC6F"/>
        <bgColor rgb="FFF9E79F"/>
      </patternFill>
    </fill>
    <fill>
      <patternFill patternType="solid">
        <fgColor rgb="FFF9E79F"/>
        <bgColor rgb="FFF7DC6F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0" fillId="8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D0A"/>
      <rgbColor rgb="FF800080"/>
      <rgbColor rgb="FF008080"/>
      <rgbColor rgb="FFC9C9C9"/>
      <rgbColor rgb="FF808080"/>
      <rgbColor rgb="FF9999FF"/>
      <rgbColor rgb="FF993366"/>
      <rgbColor rgb="FFF7F0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79F"/>
      <rgbColor rgb="FF99CCFF"/>
      <rgbColor rgb="FFFF99CC"/>
      <rgbColor rgb="FFCC99FF"/>
      <rgbColor rgb="FFF7DC6F"/>
      <rgbColor rgb="FF3366FF"/>
      <rgbColor rgb="FF33CCCC"/>
      <rgbColor rgb="FFB7950B"/>
      <rgbColor rgb="FFF1C40F"/>
      <rgbColor rgb="FFD4AC0D"/>
      <rgbColor rgb="FFFF6600"/>
      <rgbColor rgb="FF666699"/>
      <rgbColor rgb="FF969696"/>
      <rgbColor rgb="FF003366"/>
      <rgbColor rgb="FF339966"/>
      <rgbColor rgb="FF003300"/>
      <rgbColor rgb="FF333300"/>
      <rgbColor rgb="FF7D6608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D6608"/>
    <outlinePr summaryBelow="1" summaryRight="1"/>
    <pageSetUpPr/>
  </sheetPr>
  <dimension ref="A1:E15"/>
  <sheetViews>
    <sheetView zoomScaleNormal="100" workbookViewId="0">
      <pane ySplit="2" topLeftCell="A3" activePane="bottomLeft" state="frozen"/>
      <selection pane="bottomLeft" activeCell="A1" sqref="A1:E1"/>
    </sheetView>
  </sheetViews>
  <sheetFormatPr baseColWidth="8" defaultColWidth="8.7109375" defaultRowHeight="15"/>
  <cols>
    <col width="32" customWidth="1" min="1" max="1"/>
    <col width="16" customWidth="1" min="2" max="2"/>
    <col width="14" customWidth="1" min="3" max="5"/>
  </cols>
  <sheetData>
    <row r="1" ht="33.75" customHeight="1">
      <c r="A1" s="8" t="inlineStr">
        <is>
          <t>신경 학습 진행률 대시보드</t>
        </is>
      </c>
    </row>
    <row r="2" ht="21.75" customHeight="1">
      <c r="A2" s="9" t="inlineStr">
        <is>
          <t>계통</t>
        </is>
      </c>
      <c r="B2" s="9" t="inlineStr">
        <is>
          <t>전체 신경 수</t>
        </is>
      </c>
      <c r="C2" s="9" t="inlineStr">
        <is>
          <t>체크 완료</t>
        </is>
      </c>
      <c r="D2" s="9" t="inlineStr">
        <is>
          <t>미완료</t>
        </is>
      </c>
      <c r="E2" s="9" t="inlineStr">
        <is>
          <t>진행률</t>
        </is>
      </c>
    </row>
    <row r="3">
      <c r="A3" s="10" t="inlineStr">
        <is>
          <t>뇌신경 (Cranial Nerves, 12쌍)</t>
        </is>
      </c>
      <c r="B3" s="11">
        <f>COUNTA('00_뇌신경'!A3:A16)</f>
        <v>14</v>
      </c>
      <c r="C3" s="11">
        <f>COUNTIF('00_뇌신경'!A3:A16,"☑")</f>
        <v>0</v>
      </c>
      <c r="D3" s="11">
        <f>B3-C3</f>
        <v>14</v>
      </c>
      <c r="E3" s="20">
        <f>IFERROR(C3/B3,0)</f>
        <v>0.0</v>
      </c>
    </row>
    <row r="4">
      <c r="A4" s="10" t="inlineStr">
        <is>
          <t>목신경얼기 (Cervical Plexus, C1-C4)</t>
        </is>
      </c>
      <c r="B4" s="11">
        <f>COUNTA('01_목신경얼기'!A3:A8)</f>
        <v>6</v>
      </c>
      <c r="C4" s="11">
        <f>COUNTIF('01_목신경얼기'!A3:A8,"☑")</f>
        <v>0</v>
      </c>
      <c r="D4" s="11">
        <f>B4-C4</f>
        <v>6</v>
      </c>
      <c r="E4" s="20">
        <f>IFERROR(C4/B4,0)</f>
        <v>0.0</v>
      </c>
    </row>
    <row r="5">
      <c r="A5" s="10" t="inlineStr">
        <is>
          <t>팔신경얼기 (Brachial Plexus, C5-T1)</t>
        </is>
      </c>
      <c r="B5" s="11">
        <f>COUNTA('02_팔신경얼기'!A3:A15)</f>
        <v>13</v>
      </c>
      <c r="C5" s="11">
        <f>COUNTIF('02_팔신경얼기'!A3:A15,"☑")</f>
        <v>0</v>
      </c>
      <c r="D5" s="11">
        <f>B5-C5</f>
        <v>13</v>
      </c>
      <c r="E5" s="20">
        <f>IFERROR(C5/B5,0)</f>
        <v>0.0</v>
      </c>
    </row>
    <row r="6">
      <c r="A6" s="10" t="inlineStr">
        <is>
          <t>가슴신경 (Thoracic / Intercostal Nerves)</t>
        </is>
      </c>
      <c r="B6" s="11">
        <f>COUNTA('03_가슴신경'!A3:A4)</f>
        <v>2</v>
      </c>
      <c r="C6" s="11">
        <f>COUNTIF('03_가슴신경'!A3:A4,"☑")</f>
        <v>0</v>
      </c>
      <c r="D6" s="11">
        <f>B6-C6</f>
        <v>2</v>
      </c>
      <c r="E6" s="20">
        <f>IFERROR(C6/B6,0)</f>
        <v>0.0</v>
      </c>
    </row>
    <row r="7">
      <c r="A7" s="10" t="inlineStr">
        <is>
          <t>허리신경얼기 (Lumbar Plexus, L1-L4)</t>
        </is>
      </c>
      <c r="B7" s="11">
        <f>COUNTA('04_허리신경얼기'!A3:A9)</f>
        <v>7</v>
      </c>
      <c r="C7" s="11">
        <f>COUNTIF('04_허리신경얼기'!A3:A9,"☑")</f>
        <v>0</v>
      </c>
      <c r="D7" s="11">
        <f>B7-C7</f>
        <v>7</v>
      </c>
      <c r="E7" s="20">
        <f>IFERROR(C7/B7,0)</f>
        <v>0.0</v>
      </c>
    </row>
    <row r="8">
      <c r="A8" s="10" t="inlineStr">
        <is>
          <t>엉치신경얼기 (Sacral Plexus, L4-S4)</t>
        </is>
      </c>
      <c r="B8" s="11">
        <f>COUNTA('05_엉치신경얼기'!A3:A15)</f>
        <v>13</v>
      </c>
      <c r="C8" s="11">
        <f>COUNTIF('05_엉치신경얼기'!A3:A15,"☑")</f>
        <v>0</v>
      </c>
      <c r="D8" s="11">
        <f>B8-C8</f>
        <v>13</v>
      </c>
      <c r="E8" s="20">
        <f>IFERROR(C8/B8,0)</f>
        <v>0.0</v>
      </c>
    </row>
    <row r="9" ht="21.75" customHeight="1">
      <c r="A9" s="13" t="inlineStr">
        <is>
          <t>전체 합계</t>
        </is>
      </c>
      <c r="B9" s="14">
        <f>SUM(B3:B8)</f>
        <v>55</v>
      </c>
      <c r="C9" s="14">
        <f>SUM(C3:C8)</f>
        <v>0</v>
      </c>
      <c r="D9" s="14">
        <f>SUM(D3:D8)</f>
        <v>55</v>
      </c>
      <c r="E9" s="21">
        <f>IFERROR(C9/B9,0)</f>
        <v>0.0</v>
      </c>
    </row>
    <row r="10"/>
    <row r="11" ht="15" customHeight="1">
      <c r="A11" s="7" t="inlineStr">
        <is>
          <t>사용법
1) 각 계통 시트에서 '체크' 열 셀을 클릭하면 ☐ / ☑ 목록이 나타납니다. 학습을 마친 신경은 ☑로 표시하세요.
2) 이 대시보드는 각 시트의 체크 현황을 자동 집계합니다(수식 기반, 새로고침 불필요).
3) 뇌신경은 두개내 기시부터, 척수신경얼기는 신경뿌리에서 말단 가지 순서로 배치했습니다.
4) 자율신경계(교감/부교감)는 이 표에서 제외했습니다 - 체성신경(운동+감각) 중심으로 구성.
5) '운동지배' 컬럼은 근육 체크리스트와, 이 표는 동맥 체크리스트와 함께 대조하며 학습하면 좋습니다.</t>
        </is>
      </c>
    </row>
    <row r="12"/>
    <row r="13"/>
    <row r="14"/>
    <row r="15"/>
  </sheetData>
  <autoFilter ref="A2:E8"/>
  <mergeCells count="2">
    <mergeCell ref="A1:E1"/>
    <mergeCell ref="A11:E1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7D6608"/>
    <outlinePr summaryBelow="1" summaryRight="1"/>
    <pageSetUpPr/>
  </sheetPr>
  <dimension ref="A1:M1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:M1"/>
    </sheetView>
  </sheetViews>
  <sheetFormatPr baseColWidth="8" defaultColWidth="8.7109375" defaultRowHeight="15"/>
  <cols>
    <col width="7" customWidth="1" min="1" max="1"/>
    <col width="20" customWidth="1" min="2" max="2"/>
    <col width="22" customWidth="1" min="3" max="3"/>
    <col width="32" customWidth="1" min="4" max="4"/>
    <col width="30" customWidth="1" min="5" max="5"/>
    <col width="36" customWidth="1" min="6" max="6"/>
    <col width="32" customWidth="1" min="7" max="7"/>
    <col width="28" customWidth="1" min="8" max="8"/>
    <col width="22" customWidth="1" min="9" max="9"/>
    <col width="30" customWidth="1" min="10" max="10"/>
    <col width="22" customWidth="1" min="11" max="11"/>
    <col width="40" customWidth="1" min="12" max="12"/>
    <col width="18" customWidth="1" min="13" max="13"/>
  </cols>
  <sheetData>
    <row r="1" ht="30" customHeight="1">
      <c r="A1" s="6" t="inlineStr">
        <is>
          <t>뇌신경 (Cranial Nerves, 12쌍)  —  신경 학습 체크리스트  (총 14개)</t>
        </is>
      </c>
    </row>
    <row r="2" ht="24" customHeight="1">
      <c r="A2" s="9" t="inlineStr">
        <is>
          <t>체크</t>
        </is>
      </c>
      <c r="B2" s="9" t="inlineStr">
        <is>
          <t>그룹</t>
        </is>
      </c>
      <c r="C2" s="9" t="inlineStr">
        <is>
          <t>신경명(한글)</t>
        </is>
      </c>
      <c r="D2" s="9" t="inlineStr">
        <is>
          <t>신경명(영문)</t>
        </is>
      </c>
      <c r="E2" s="9" t="inlineStr">
        <is>
          <t>기시(신경뿌리/분절)</t>
        </is>
      </c>
      <c r="F2" s="9" t="inlineStr">
        <is>
          <t>주행경로</t>
        </is>
      </c>
      <c r="G2" s="9" t="inlineStr">
        <is>
          <t>운동지배(지배근육)</t>
        </is>
      </c>
      <c r="H2" s="9" t="inlineStr">
        <is>
          <t>감각지배(피부분포)</t>
        </is>
      </c>
      <c r="I2" s="9" t="inlineStr">
        <is>
          <t>반사</t>
        </is>
      </c>
      <c r="J2" s="9" t="inlineStr">
        <is>
          <t>포착·손상호발부위</t>
        </is>
      </c>
      <c r="K2" s="9" t="inlineStr">
        <is>
          <t>촉진 포인트</t>
        </is>
      </c>
      <c r="L2" s="9" t="inlineStr">
        <is>
          <t>임상 포인트</t>
        </is>
      </c>
      <c r="M2" s="9" t="inlineStr">
        <is>
          <t>메모</t>
        </is>
      </c>
    </row>
    <row r="3" ht="27.75" customHeight="1">
      <c r="A3" s="16" t="inlineStr">
        <is>
          <t>☐</t>
        </is>
      </c>
      <c r="B3" s="17" t="inlineStr">
        <is>
          <t>뇌신경(감각)</t>
        </is>
      </c>
      <c r="C3" s="18" t="inlineStr">
        <is>
          <t>CN I 후각신경</t>
        </is>
      </c>
      <c r="D3" s="18" t="inlineStr">
        <is>
          <t>Olfactory nerve</t>
        </is>
      </c>
      <c r="E3" s="19" t="inlineStr">
        <is>
          <t>코안 후각상피의 후각신경세포 축삭 (벌집뼈 사상판 통과)</t>
        </is>
      </c>
      <c r="F3" s="19" t="inlineStr">
        <is>
          <t>후각상피 → 사상판(다수의 작은 가지) → 후각망울 → 후각로 → 대뇌</t>
        </is>
      </c>
      <c r="G3" s="19" t="inlineStr">
        <is>
          <t>해당없음</t>
        </is>
      </c>
      <c r="H3" s="19" t="inlineStr">
        <is>
          <t>후각 (코안 후각상피)</t>
        </is>
      </c>
      <c r="I3" s="19" t="inlineStr">
        <is>
          <t>해당없음</t>
        </is>
      </c>
      <c r="J3" s="19" t="inlineStr">
        <is>
          <t>사상판 골절(두부외상), 코안 수술 시 손상</t>
        </is>
      </c>
      <c r="K3" s="19" t="inlineStr">
        <is>
          <t>해당없음</t>
        </is>
      </c>
      <c r="L3" s="19" t="inlineStr">
        <is>
          <t>두부외상 후 후각소실(anosmia)의 흔한 원인, 사상판을 통한 뇌척수액 코유출(rhinorrhea) 가능</t>
        </is>
      </c>
      <c r="M3" s="18" t="n"/>
    </row>
    <row r="4" ht="37.5" customHeight="1">
      <c r="A4" s="16" t="inlineStr">
        <is>
          <t>☐</t>
        </is>
      </c>
      <c r="B4" s="17" t="inlineStr">
        <is>
          <t>뇌신경(감각)</t>
        </is>
      </c>
      <c r="C4" s="18" t="inlineStr">
        <is>
          <t>CN II 시각신경</t>
        </is>
      </c>
      <c r="D4" s="18" t="inlineStr">
        <is>
          <t>Optic nerve</t>
        </is>
      </c>
      <c r="E4" s="19" t="inlineStr">
        <is>
          <t>망막 신경절세포 축삭 (시각신경관 통과)</t>
        </is>
      </c>
      <c r="F4" s="19" t="inlineStr">
        <is>
          <t>눈확 → 시각신경관 → 시각교차(반쪽 교차) → 시각로 → 가쪽무릎체 → 뒤통수엽</t>
        </is>
      </c>
      <c r="G4" s="19" t="inlineStr">
        <is>
          <t>해당없음</t>
        </is>
      </c>
      <c r="H4" s="19" t="inlineStr">
        <is>
          <t>시각 (망막)</t>
        </is>
      </c>
      <c r="I4" s="19" t="inlineStr">
        <is>
          <t>대광반사(빛반사)의 구심로</t>
        </is>
      </c>
      <c r="J4" s="19" t="inlineStr">
        <is>
          <t>시각신경관 골절, 시신경염(다발경화증과 연관)</t>
        </is>
      </c>
      <c r="K4" s="19" t="inlineStr">
        <is>
          <t>해당없음</t>
        </is>
      </c>
      <c r="L4" s="19" t="inlineStr">
        <is>
          <t>시각교차 압박(뇌하수체종양) 시 양쪽관자반맹(bitemporal hemianopia), 유두부종은 두개내압상승의 관찰 징후</t>
        </is>
      </c>
      <c r="M4" s="18" t="n"/>
    </row>
    <row r="5" ht="37.5" customHeight="1">
      <c r="A5" s="16" t="inlineStr">
        <is>
          <t>☐</t>
        </is>
      </c>
      <c r="B5" s="17" t="inlineStr">
        <is>
          <t>뇌신경(운동)</t>
        </is>
      </c>
      <c r="C5" s="18" t="inlineStr">
        <is>
          <t>CN III 눈돌림신경</t>
        </is>
      </c>
      <c r="D5" s="18" t="inlineStr">
        <is>
          <t>Oculomotor nerve</t>
        </is>
      </c>
      <c r="E5" s="19" t="inlineStr">
        <is>
          <t>중간뇌(중뇌) 앞면, 대뇌다리사이오목</t>
        </is>
      </c>
      <c r="F5" s="19" t="inlineStr">
        <is>
          <t>해면정맥굴 가쪽벽을 지나 위눈확틈새를 통해 눈확으로</t>
        </is>
      </c>
      <c r="G5" s="19" t="inlineStr">
        <is>
          <t>위곧은근·아래곧은근·안쪽곧은근·아래빗근·위눈꺼풀올림근 (부교감 성분은 본 표에서 제외)</t>
        </is>
      </c>
      <c r="H5" s="19" t="inlineStr">
        <is>
          <t>없음</t>
        </is>
      </c>
      <c r="I5" s="19" t="inlineStr">
        <is>
          <t>대광반사 원심로(부교감 성분, 참고용)</t>
        </is>
      </c>
      <c r="J5" s="19" t="inlineStr">
        <is>
          <t>뒤교통동맥류에 의한 압박(전형적으로 동공산대 동반), 해면정맥굴 병변</t>
        </is>
      </c>
      <c r="K5" s="19" t="inlineStr">
        <is>
          <t>해당없음</t>
        </is>
      </c>
      <c r="L5" s="19" t="inlineStr">
        <is>
          <t>손상 시 안검하수, 아래가쪽사시("down and out"), 동맥류 압박 시 동공산대 동반이 당뇨성 마비와의 감별점</t>
        </is>
      </c>
      <c r="M5" s="18" t="n"/>
    </row>
    <row r="6" ht="27.75" customHeight="1">
      <c r="A6" s="16" t="inlineStr">
        <is>
          <t>☐</t>
        </is>
      </c>
      <c r="B6" s="17" t="inlineStr">
        <is>
          <t>뇌신경(운동)</t>
        </is>
      </c>
      <c r="C6" s="18" t="inlineStr">
        <is>
          <t>CN IV 도르래신경</t>
        </is>
      </c>
      <c r="D6" s="18" t="inlineStr">
        <is>
          <t>Trochlear nerve</t>
        </is>
      </c>
      <c r="E6" s="19" t="inlineStr">
        <is>
          <t>중간뇌 뒷면 (뇌신경 중 유일하게 뒷면에서 나옴)</t>
        </is>
      </c>
      <c r="F6" s="19" t="inlineStr">
        <is>
          <t>뇌줄기를 감아 돌아 해면정맥굴 가쪽벽을 지나 위눈확틈새로</t>
        </is>
      </c>
      <c r="G6" s="19" t="inlineStr">
        <is>
          <t>위빗근</t>
        </is>
      </c>
      <c r="H6" s="19" t="inlineStr">
        <is>
          <t>없음</t>
        </is>
      </c>
      <c r="I6" s="19" t="inlineStr">
        <is>
          <t>해당없음</t>
        </is>
      </c>
      <c r="J6" s="19" t="inlineStr">
        <is>
          <t>가늘고 긴 주행경로로 두부외상에 취약 (손상 빈도 비교적 높은 뇌신경)</t>
        </is>
      </c>
      <c r="K6" s="19" t="inlineStr">
        <is>
          <t>해당없음</t>
        </is>
      </c>
      <c r="L6" s="19" t="inlineStr">
        <is>
          <t>손상 시 위빗근마비 - 수직복시, 계단 내려갈 때 악화, 대상성 고개기울임(head tilt)</t>
        </is>
      </c>
      <c r="M6" s="18" t="n"/>
    </row>
    <row r="7" ht="27.75" customHeight="1">
      <c r="A7" s="16" t="inlineStr">
        <is>
          <t>☐</t>
        </is>
      </c>
      <c r="B7" s="17" t="inlineStr">
        <is>
          <t>뇌신경(감각)</t>
        </is>
      </c>
      <c r="C7" s="18" t="inlineStr">
        <is>
          <t>CN V-1 삼차신경(눈신경)</t>
        </is>
      </c>
      <c r="D7" s="18" t="inlineStr">
        <is>
          <t>Trigeminal - Ophthalmic division</t>
        </is>
      </c>
      <c r="E7" s="19" t="inlineStr">
        <is>
          <t>삼차신경절(반달신경절) → 다리뇌</t>
        </is>
      </c>
      <c r="F7" s="19" t="inlineStr">
        <is>
          <t>해면정맥굴 가쪽벽을 지나 위눈확틈새를 통해 눈확으로</t>
        </is>
      </c>
      <c r="G7" s="19" t="inlineStr">
        <is>
          <t>없음</t>
        </is>
      </c>
      <c r="H7" s="19" t="inlineStr">
        <is>
          <t>이마·머리덮개 앞부분, 코등, 위눈꺼풀, 각막</t>
        </is>
      </c>
      <c r="I7" s="19" t="inlineStr">
        <is>
          <t>각막반사(눈깜박반사)의 구심로</t>
        </is>
      </c>
      <c r="J7" s="19" t="inlineStr">
        <is>
          <t>해면정맥굴 병변</t>
        </is>
      </c>
      <c r="K7" s="19" t="inlineStr">
        <is>
          <t>눈확위구멍(눈확위신경)</t>
        </is>
      </c>
      <c r="L7" s="19" t="inlineStr">
        <is>
          <t>각막반사 소실은 삼차신경 병변의 중요 징후, 대상포진(안신경 분포) 시 각막 침범 위험</t>
        </is>
      </c>
      <c r="M7" s="18" t="n"/>
    </row>
    <row r="8" ht="27.75" customHeight="1">
      <c r="A8" s="16" t="inlineStr">
        <is>
          <t>☐</t>
        </is>
      </c>
      <c r="B8" s="17" t="inlineStr">
        <is>
          <t>뇌신경(감각)</t>
        </is>
      </c>
      <c r="C8" s="18" t="inlineStr">
        <is>
          <t>CN V-2 삼차신경(위턱신경)</t>
        </is>
      </c>
      <c r="D8" s="18" t="inlineStr">
        <is>
          <t>Trigeminal - Maxillary division</t>
        </is>
      </c>
      <c r="E8" s="19" t="inlineStr">
        <is>
          <t>삼차신경절</t>
        </is>
      </c>
      <c r="F8" s="19" t="inlineStr">
        <is>
          <t>원형구멍을 통과해 날개입천장오목 → 눈확아래구멍을 통해 얼굴로</t>
        </is>
      </c>
      <c r="G8" s="19" t="inlineStr">
        <is>
          <t>없음</t>
        </is>
      </c>
      <c r="H8" s="19" t="inlineStr">
        <is>
          <t>볼, 위입술, 위턱 치아, 코안 일부</t>
        </is>
      </c>
      <c r="I8" s="19" t="inlineStr">
        <is>
          <t>없음</t>
        </is>
      </c>
      <c r="J8" s="19" t="inlineStr">
        <is>
          <t>얼굴중간부(Le Fort) 골절 시 손상</t>
        </is>
      </c>
      <c r="K8" s="19" t="inlineStr">
        <is>
          <t>눈확아래구멍</t>
        </is>
      </c>
      <c r="L8" s="19" t="inlineStr">
        <is>
          <t>위턱굴(상악동) 수술 시 손상 위험, 치과 상악 마취의 해부학적 기준</t>
        </is>
      </c>
      <c r="M8" s="18" t="n"/>
    </row>
    <row r="9" ht="27.75" customHeight="1">
      <c r="A9" s="16" t="inlineStr">
        <is>
          <t>☐</t>
        </is>
      </c>
      <c r="B9" s="17" t="inlineStr">
        <is>
          <t>뇌신경(혼합)</t>
        </is>
      </c>
      <c r="C9" s="18" t="inlineStr">
        <is>
          <t>CN V-3 삼차신경(아래턱신경)</t>
        </is>
      </c>
      <c r="D9" s="18" t="inlineStr">
        <is>
          <t>Trigeminal - Mandibular division</t>
        </is>
      </c>
      <c r="E9" s="19" t="inlineStr">
        <is>
          <t>삼차신경절</t>
        </is>
      </c>
      <c r="F9" s="19" t="inlineStr">
        <is>
          <t>타원구멍을 통과해 관자아래오목으로</t>
        </is>
      </c>
      <c r="G9" s="19" t="inlineStr">
        <is>
          <t>씹기근(깨물근·관자근·안쪽/가쪽날개근), 턱목뿔근, 두힘살근 앞배, 고막긴장근, 입천장긴장근</t>
        </is>
      </c>
      <c r="H9" s="19" t="inlineStr">
        <is>
          <t>아래턱, 아래입술, 혀 앞2/3 촉각(미각은 얼굴신경 담당), 귀관자부위</t>
        </is>
      </c>
      <c r="I9" s="19" t="inlineStr">
        <is>
          <t>아래턱반사(jaw jerk)</t>
        </is>
      </c>
      <c r="J9" s="19" t="inlineStr">
        <is>
          <t>하치조신경 손상(사랑니 발치 시), 타원구멍 병변</t>
        </is>
      </c>
      <c r="K9" s="19" t="inlineStr">
        <is>
          <t>턱끝구멍(턱끝신경)</t>
        </is>
      </c>
      <c r="L9" s="19" t="inlineStr">
        <is>
          <t>삼차신경 중 유일하게 운동가지 포함, 씹기근마비 시 입을 벌리면 아래턱이 마비쪽으로 편위</t>
        </is>
      </c>
      <c r="M9" s="18" t="n"/>
    </row>
    <row r="10" ht="37.5" customHeight="1">
      <c r="A10" s="16" t="inlineStr">
        <is>
          <t>☐</t>
        </is>
      </c>
      <c r="B10" s="17" t="inlineStr">
        <is>
          <t>뇌신경(운동)</t>
        </is>
      </c>
      <c r="C10" s="18" t="inlineStr">
        <is>
          <t>CN VI 갓돌림신경</t>
        </is>
      </c>
      <c r="D10" s="18" t="inlineStr">
        <is>
          <t>Abducens nerve</t>
        </is>
      </c>
      <c r="E10" s="19" t="inlineStr">
        <is>
          <t>다리뇌-숨뇌 경계</t>
        </is>
      </c>
      <c r="F10" s="19" t="inlineStr">
        <is>
          <t>두개저를 길게 주행하여 해면정맥굴을 지나 위눈확틈새로 (뇌신경 중 두개내 주행 최장)</t>
        </is>
      </c>
      <c r="G10" s="19" t="inlineStr">
        <is>
          <t>가쪽곧은근</t>
        </is>
      </c>
      <c r="H10" s="19" t="inlineStr">
        <is>
          <t>없음</t>
        </is>
      </c>
      <c r="I10" s="19" t="inlineStr">
        <is>
          <t>없음</t>
        </is>
      </c>
      <c r="J10" s="19" t="inlineStr">
        <is>
          <t>긴 두개내 주행으로 두개내압 상승 시 가장 먼저 손상(false localizing sign)</t>
        </is>
      </c>
      <c r="K10" s="19" t="inlineStr">
        <is>
          <t>해당없음</t>
        </is>
      </c>
      <c r="L10" s="19" t="inlineStr">
        <is>
          <t>손상 시 가쪽곧은근마비 - 안쪽사시, 수평복시(가쪽 시선 시 악화)</t>
        </is>
      </c>
      <c r="M10" s="18" t="n"/>
    </row>
    <row r="11" ht="37.5" customHeight="1">
      <c r="A11" s="16" t="inlineStr">
        <is>
          <t>☐</t>
        </is>
      </c>
      <c r="B11" s="17" t="inlineStr">
        <is>
          <t>뇌신경(혼합)</t>
        </is>
      </c>
      <c r="C11" s="18" t="inlineStr">
        <is>
          <t>CN VII 얼굴신경</t>
        </is>
      </c>
      <c r="D11" s="18" t="inlineStr">
        <is>
          <t>Facial nerve</t>
        </is>
      </c>
      <c r="E11" s="19" t="inlineStr">
        <is>
          <t>다리뇌-숨뇌 경계 (속귀신경과 나란히)</t>
        </is>
      </c>
      <c r="F11" s="19" t="inlineStr">
        <is>
          <t>속귀길 → 관자뼈 얼굴신경관 → 붓꼭지구멍으로 두개골 밖 → 귀밑샘 통과하며 5가지로 분지</t>
        </is>
      </c>
      <c r="G11" s="19" t="inlineStr">
        <is>
          <t>얼굴표정근 전체, 등자근, 두힘살근 뒤배, 붓목뿔근 (부교감-침샘/눈물샘 성분은 본 표에서 제외)</t>
        </is>
      </c>
      <c r="H11" s="19" t="inlineStr">
        <is>
          <t>혀 앞2/3 미각(고실끈신경), 귓바퀴 일부 피부</t>
        </is>
      </c>
      <c r="I11" s="19" t="inlineStr">
        <is>
          <t>각막반사 원심로(눈둘레근 수축)</t>
        </is>
      </c>
      <c r="J11" s="19" t="inlineStr">
        <is>
          <t>붓꼭지구멍 부근(귀밑샘 수술 시 손상 위험), 얼굴신경관 내 부종(벨마비)</t>
        </is>
      </c>
      <c r="K11" s="19" t="inlineStr">
        <is>
          <t>해당없음</t>
        </is>
      </c>
      <c r="L11" s="19" t="inlineStr">
        <is>
          <t>벨마비(말초성)는 이마주름까지 마비되나, 중추성 마비는 이마 보존(양측 겉질핵 지배) - 감별점으로 시험 단골</t>
        </is>
      </c>
      <c r="M11" s="18" t="n"/>
    </row>
    <row r="12" ht="27.75" customHeight="1">
      <c r="A12" s="16" t="inlineStr">
        <is>
          <t>☐</t>
        </is>
      </c>
      <c r="B12" s="17" t="inlineStr">
        <is>
          <t>뇌신경(감각)</t>
        </is>
      </c>
      <c r="C12" s="18" t="inlineStr">
        <is>
          <t>CN VIII 속귀신경</t>
        </is>
      </c>
      <c r="D12" s="18" t="inlineStr">
        <is>
          <t>Vestibulocochlear nerve</t>
        </is>
      </c>
      <c r="E12" s="19" t="inlineStr">
        <is>
          <t>다리뇌-숨뇌 경계</t>
        </is>
      </c>
      <c r="F12" s="19" t="inlineStr">
        <is>
          <t>속귀길을 통해 속귀(달팽이관·안뜰기관)로</t>
        </is>
      </c>
      <c r="G12" s="19" t="inlineStr">
        <is>
          <t>없음</t>
        </is>
      </c>
      <c r="H12" s="19" t="inlineStr">
        <is>
          <t>청각(달팽이신경), 평형감각(안뜰신경)</t>
        </is>
      </c>
      <c r="I12" s="19" t="inlineStr">
        <is>
          <t>안뜰눈반사(전정안반사)의 구심로</t>
        </is>
      </c>
      <c r="J12" s="19" t="inlineStr">
        <is>
          <t>청신경집종(vestibular schwannoma, 속귀길 확장 소견)</t>
        </is>
      </c>
      <c r="K12" s="19" t="inlineStr">
        <is>
          <t>해당없음</t>
        </is>
      </c>
      <c r="L12" s="19" t="inlineStr">
        <is>
          <t>청신경집종은 얼굴신경과 함께 속귀길을 지나 동반압박(안면마비+청력저하 동반 가능)</t>
        </is>
      </c>
      <c r="M12" s="18" t="n"/>
    </row>
    <row r="13" ht="37.5" customHeight="1">
      <c r="A13" s="16" t="inlineStr">
        <is>
          <t>☐</t>
        </is>
      </c>
      <c r="B13" s="17" t="inlineStr">
        <is>
          <t>뇌신경(혼합)</t>
        </is>
      </c>
      <c r="C13" s="18" t="inlineStr">
        <is>
          <t>CN IX 혀인두신경</t>
        </is>
      </c>
      <c r="D13" s="18" t="inlineStr">
        <is>
          <t>Glossopharyngeal nerve</t>
        </is>
      </c>
      <c r="E13" s="19" t="inlineStr">
        <is>
          <t>숨뇌(연수) 올리브 뒤고랑</t>
        </is>
      </c>
      <c r="F13" s="19" t="inlineStr">
        <is>
          <t>목정맥구멍을 통해 두개골 밖으로 나와 붓인두근·인두벽으로</t>
        </is>
      </c>
      <c r="G13" s="19" t="inlineStr">
        <is>
          <t>붓인두근</t>
        </is>
      </c>
      <c r="H13" s="19" t="inlineStr">
        <is>
          <t>혀 뒤1/3 미각+일반감각, 인두 위부분, 중이(고실신경), 목동맥소체·목동맥굴 구심</t>
        </is>
      </c>
      <c r="I13" s="19" t="inlineStr">
        <is>
          <t>구역반사(gag reflex)의 구심로</t>
        </is>
      </c>
      <c r="J13" s="19" t="inlineStr">
        <is>
          <t>목정맥구멍증후군(IX·X·XI 동반손상)</t>
        </is>
      </c>
      <c r="K13" s="19" t="inlineStr">
        <is>
          <t>해당없음</t>
        </is>
      </c>
      <c r="L13" s="19" t="inlineStr">
        <is>
          <t>구역반사 소실 시 구심로(IX)·원심로(X) 감별 필요, 설인신경통(삼킴 시 유발되는 당김통증)</t>
        </is>
      </c>
      <c r="M13" s="18" t="n"/>
    </row>
    <row r="14" ht="37.5" customHeight="1">
      <c r="A14" s="16" t="inlineStr">
        <is>
          <t>☐</t>
        </is>
      </c>
      <c r="B14" s="17" t="inlineStr">
        <is>
          <t>뇌신경(혼합)</t>
        </is>
      </c>
      <c r="C14" s="18" t="inlineStr">
        <is>
          <t>CN X 미주신경</t>
        </is>
      </c>
      <c r="D14" s="18" t="inlineStr">
        <is>
          <t>Vagus nerve</t>
        </is>
      </c>
      <c r="E14" s="19" t="inlineStr">
        <is>
          <t>숨뇌 올리브 뒤고랑 (IX 아래쪽)</t>
        </is>
      </c>
      <c r="F14" s="19" t="inlineStr">
        <is>
          <t>목정맥구멍 → 목동맥집 안에서 온목동맥·속목정맥과 동반 주행 → 가슴·배로 광범위 분포</t>
        </is>
      </c>
      <c r="G14" s="19" t="inlineStr">
        <is>
          <t>인두근육(붓인두근 제외), 후두근육 전체(되돌이후두신경), 물렁입천장근</t>
        </is>
      </c>
      <c r="H14" s="19" t="inlineStr">
        <is>
          <t>후두 점막(위후두신경), 귀바퀴·바깥귀길 일부, 인두·가슴·배 내장 일반감각</t>
        </is>
      </c>
      <c r="I14" s="19" t="inlineStr">
        <is>
          <t>구역반사 원심로, 기침반사</t>
        </is>
      </c>
      <c r="J14" s="19" t="inlineStr">
        <is>
          <t>왼되돌이후두신경(대동맥활을 감아돎 - 대동맥활 동맥류·가슴종양에 취약), 갑상샘절제술 시 손상 위험</t>
        </is>
      </c>
      <c r="K14" s="19" t="inlineStr">
        <is>
          <t>해당없음</t>
        </is>
      </c>
      <c r="L14" s="19" t="inlineStr">
        <is>
          <t>되돌이후두신경 손상 시 쉰목소리(단측)·기도폐쇄 위험(양측), 목동맥집 안에서 동맥·정맥과 나란히 주행</t>
        </is>
      </c>
      <c r="M14" s="18" t="n"/>
    </row>
    <row r="15" ht="37.5" customHeight="1">
      <c r="A15" s="16" t="inlineStr">
        <is>
          <t>☐</t>
        </is>
      </c>
      <c r="B15" s="17" t="inlineStr">
        <is>
          <t>뇌신경(운동)</t>
        </is>
      </c>
      <c r="C15" s="18" t="inlineStr">
        <is>
          <t>CN XI 더부신경(부신경)</t>
        </is>
      </c>
      <c r="D15" s="18" t="inlineStr">
        <is>
          <t>Accessory nerve</t>
        </is>
      </c>
      <c r="E15" s="19" t="inlineStr">
        <is>
          <t>숨뇌 + 척수 위쪽분절(C1-C5, 대공을 통해 두개내로 올라왔다가 목정맥구멍으로 다시 나감)</t>
        </is>
      </c>
      <c r="F15" s="19" t="inlineStr">
        <is>
          <t>목정맥구멍을 통해 두개골 밖으로 나와 목빗근을 관통하여 등세모근으로</t>
        </is>
      </c>
      <c r="G15" s="19" t="inlineStr">
        <is>
          <t>목빗근, 등세모근</t>
        </is>
      </c>
      <c r="H15" s="19" t="inlineStr">
        <is>
          <t>없음</t>
        </is>
      </c>
      <c r="I15" s="19" t="inlineStr">
        <is>
          <t>없음</t>
        </is>
      </c>
      <c r="J15" s="19" t="inlineStr">
        <is>
          <t>목 가쪽 림프절 생검·수술 시 손상 위험 (목뒤삼각 얕은 부위 주행)</t>
        </is>
      </c>
      <c r="K15" s="19" t="inlineStr">
        <is>
          <t>해당없음</t>
        </is>
      </c>
      <c r="L15" s="19" t="inlineStr">
        <is>
          <t>손상 시 어깨처짐·으쓱 약화(등세모근마비) - 목 림프절절제술의 대표적 의인성 손상신경</t>
        </is>
      </c>
      <c r="M15" s="18" t="n"/>
    </row>
    <row r="16" ht="27.75" customHeight="1">
      <c r="A16" s="16" t="inlineStr">
        <is>
          <t>☐</t>
        </is>
      </c>
      <c r="B16" s="17" t="inlineStr">
        <is>
          <t>뇌신경(운동)</t>
        </is>
      </c>
      <c r="C16" s="18" t="inlineStr">
        <is>
          <t>CN XII 혀밑신경</t>
        </is>
      </c>
      <c r="D16" s="18" t="inlineStr">
        <is>
          <t>Hypoglossal nerve</t>
        </is>
      </c>
      <c r="E16" s="19" t="inlineStr">
        <is>
          <t>숨뇌 앞면(피라미드-올리브 사이고랑)</t>
        </is>
      </c>
      <c r="F16" s="19" t="inlineStr">
        <is>
          <t>혀밑신경관을 통해 두개골 밖으로 나와 아래턱뼈 아래를 지나 혀로</t>
        </is>
      </c>
      <c r="G16" s="19" t="inlineStr">
        <is>
          <t>혀 내재근+외재근 대부분(입천장혀근 제외, 미주신경 지배)</t>
        </is>
      </c>
      <c r="H16" s="19" t="inlineStr">
        <is>
          <t>없음</t>
        </is>
      </c>
      <c r="I16" s="19" t="inlineStr">
        <is>
          <t>없음</t>
        </is>
      </c>
      <c r="J16" s="19" t="inlineStr">
        <is>
          <t>목동맥 수술(내막절제술) 시 손상 위험</t>
        </is>
      </c>
      <c r="K16" s="19" t="inlineStr">
        <is>
          <t>해당없음</t>
        </is>
      </c>
      <c r="L16" s="19" t="inlineStr">
        <is>
          <t>손상 시 혀를 내밀 때 손상측으로 편위(같은쪽 혀근육 약화)</t>
        </is>
      </c>
      <c r="M16" s="18" t="n"/>
    </row>
  </sheetData>
  <autoFilter ref="A2:M16"/>
  <mergeCells count="1">
    <mergeCell ref="A1:M1"/>
  </mergeCells>
  <dataValidations count="1">
    <dataValidation sqref="A3:A16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B7950B"/>
    <outlinePr summaryBelow="1" summaryRight="1"/>
    <pageSetUpPr/>
  </sheetPr>
  <dimension ref="A1:M8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8" sqref="E18"/>
    </sheetView>
  </sheetViews>
  <sheetFormatPr baseColWidth="8" defaultColWidth="8.7109375" defaultRowHeight="15"/>
  <cols>
    <col width="7" customWidth="1" min="1" max="1"/>
    <col width="20" customWidth="1" min="2" max="2"/>
    <col width="22" customWidth="1" min="3" max="3"/>
    <col width="32" customWidth="1" min="4" max="4"/>
    <col width="30" customWidth="1" min="5" max="5"/>
    <col width="36" customWidth="1" min="6" max="6"/>
    <col width="32" customWidth="1" min="7" max="7"/>
    <col width="28" customWidth="1" min="8" max="8"/>
    <col width="22" customWidth="1" min="9" max="9"/>
    <col width="30" customWidth="1" min="10" max="10"/>
    <col width="22" customWidth="1" min="11" max="11"/>
    <col width="40" customWidth="1" min="12" max="12"/>
    <col width="18" customWidth="1" min="13" max="13"/>
  </cols>
  <sheetData>
    <row r="1" ht="30" customHeight="1">
      <c r="A1" s="5" t="inlineStr">
        <is>
          <t>목신경얼기 (Cervical Plexus, C1-C4)  —  신경 학습 체크리스트  (총 6개)</t>
        </is>
      </c>
    </row>
    <row r="2" ht="24" customHeight="1">
      <c r="A2" s="9" t="inlineStr">
        <is>
          <t>체크</t>
        </is>
      </c>
      <c r="B2" s="9" t="inlineStr">
        <is>
          <t>그룹</t>
        </is>
      </c>
      <c r="C2" s="9" t="inlineStr">
        <is>
          <t>신경명(한글)</t>
        </is>
      </c>
      <c r="D2" s="9" t="inlineStr">
        <is>
          <t>신경명(영문)</t>
        </is>
      </c>
      <c r="E2" s="9" t="inlineStr">
        <is>
          <t>기시(신경뿌리/분절)</t>
        </is>
      </c>
      <c r="F2" s="9" t="inlineStr">
        <is>
          <t>주행경로</t>
        </is>
      </c>
      <c r="G2" s="9" t="inlineStr">
        <is>
          <t>운동지배(지배근육)</t>
        </is>
      </c>
      <c r="H2" s="9" t="inlineStr">
        <is>
          <t>감각지배(피부분포)</t>
        </is>
      </c>
      <c r="I2" s="9" t="inlineStr">
        <is>
          <t>반사</t>
        </is>
      </c>
      <c r="J2" s="9" t="inlineStr">
        <is>
          <t>포착·손상호발부위</t>
        </is>
      </c>
      <c r="K2" s="9" t="inlineStr">
        <is>
          <t>촉진 포인트</t>
        </is>
      </c>
      <c r="L2" s="9" t="inlineStr">
        <is>
          <t>임상 포인트</t>
        </is>
      </c>
      <c r="M2" s="9" t="inlineStr">
        <is>
          <t>메모</t>
        </is>
      </c>
    </row>
    <row r="3" ht="37.5" customHeight="1">
      <c r="A3" s="16" t="inlineStr">
        <is>
          <t>☐</t>
        </is>
      </c>
      <c r="B3" s="17" t="inlineStr">
        <is>
          <t>목신경얼기</t>
        </is>
      </c>
      <c r="C3" s="19" t="inlineStr">
        <is>
          <t>가로막신경</t>
        </is>
      </c>
      <c r="D3" s="18" t="inlineStr">
        <is>
          <t>Phrenic nerve</t>
        </is>
      </c>
      <c r="E3" s="18" t="inlineStr">
        <is>
          <t>C3-C5 (주로 C4, "C3,4,5 keeps the diaphragm alive")</t>
        </is>
      </c>
      <c r="F3" s="19" t="inlineStr">
        <is>
          <t>앞목갈비근 앞면을 따라 내려가 가슴안으로 진입, 심장막을 따라 가로막까지 주행</t>
        </is>
      </c>
      <c r="G3" s="19" t="inlineStr">
        <is>
          <t>가로막(횡격막)</t>
        </is>
      </c>
      <c r="H3" s="19" t="inlineStr">
        <is>
          <t>가로막 위아래 면 일부, 심장막, 가슴막 일부(중심부)</t>
        </is>
      </c>
      <c r="I3" s="19" t="inlineStr">
        <is>
          <t>딸꾹질 반사궁의 일부</t>
        </is>
      </c>
      <c r="J3" s="19" t="inlineStr">
        <is>
          <t>목 수술·중심정맥관 삽입 시 손상 위험, 심장수술 시 손상</t>
        </is>
      </c>
      <c r="K3" s="19" t="inlineStr">
        <is>
          <t>해당없음</t>
        </is>
      </c>
      <c r="L3" s="19" t="inlineStr">
        <is>
          <t>손상 시 같은쪽 가로막마비 - 흉부X선에서 가로막 올라감, 심낭염의 가로막 자극이 어깨통증(C4 연관통)으로 나타남</t>
        </is>
      </c>
      <c r="M3" s="18" t="n"/>
    </row>
    <row r="4" ht="27.75" customHeight="1">
      <c r="A4" s="16" t="inlineStr">
        <is>
          <t>☐</t>
        </is>
      </c>
      <c r="B4" s="17" t="inlineStr">
        <is>
          <t>목신경얼기</t>
        </is>
      </c>
      <c r="C4" s="19" t="inlineStr">
        <is>
          <t>목신경고리(경신경고리)</t>
        </is>
      </c>
      <c r="D4" s="18" t="inlineStr">
        <is>
          <t>Ansa cervicalis</t>
        </is>
      </c>
      <c r="E4" s="18" t="inlineStr">
        <is>
          <t>C1-C3 (위뿌리는 C1이 혀밑신경에 잠깐 편승, 아래뿌리는 C2-C3)</t>
        </is>
      </c>
      <c r="F4" s="19" t="inlineStr">
        <is>
          <t>온목동맥집 앞면에서 위뿌리·아래뿌리가 고리 형태로 만남</t>
        </is>
      </c>
      <c r="G4" s="19" t="inlineStr">
        <is>
          <t>목뿔아래근육(어깨목뿔근, 복장목뿔근, 복장방패근) ※ 방패목뿔근은 목신경고리를 경유하지 않고 C1이 혀밑신경에 편승해 직접 지배</t>
        </is>
      </c>
      <c r="H4" s="19" t="inlineStr">
        <is>
          <t>없음</t>
        </is>
      </c>
      <c r="I4" s="19" t="inlineStr">
        <is>
          <t>없음</t>
        </is>
      </c>
      <c r="J4" s="19" t="inlineStr">
        <is>
          <t>갑상샘 수술 시 손상 가능(임상적 영향은 경미)</t>
        </is>
      </c>
      <c r="K4" s="19" t="inlineStr">
        <is>
          <t>해당없음</t>
        </is>
      </c>
      <c r="L4" s="19" t="inlineStr">
        <is>
          <t>손상되어도 증상이 경미(발성에 큰 영향 없음) - 후두미세수술의 이식신경 공여부로 활용되기도 함</t>
        </is>
      </c>
      <c r="M4" s="18" t="n"/>
    </row>
    <row r="5" ht="27.75" customHeight="1">
      <c r="A5" s="16" t="inlineStr">
        <is>
          <t>☐</t>
        </is>
      </c>
      <c r="B5" s="17" t="inlineStr">
        <is>
          <t>목신경얼기(피부가지)</t>
        </is>
      </c>
      <c r="C5" s="19" t="inlineStr">
        <is>
          <t>큰귓바퀴신경</t>
        </is>
      </c>
      <c r="D5" s="18" t="inlineStr">
        <is>
          <t>Great auricular nerve</t>
        </is>
      </c>
      <c r="E5" s="18" t="inlineStr">
        <is>
          <t>C2-C3</t>
        </is>
      </c>
      <c r="F5" s="19" t="inlineStr">
        <is>
          <t>목빗근 뒤모서리 중점(Erb점)에서 나와 귀 방향으로 주행</t>
        </is>
      </c>
      <c r="G5" s="19" t="inlineStr">
        <is>
          <t>없음</t>
        </is>
      </c>
      <c r="H5" s="19" t="inlineStr">
        <is>
          <t>귀밑샘부위 피부, 귓바퀴 아래부분, 아래턱각 피부</t>
        </is>
      </c>
      <c r="I5" s="19" t="inlineStr">
        <is>
          <t>없음</t>
        </is>
      </c>
      <c r="J5" s="19" t="inlineStr">
        <is>
          <t>귀밑샘절제술 시 손상 매우 흔함(가장 흔히 손상되는 목신경얼기 피부가지)</t>
        </is>
      </c>
      <c r="K5" s="19" t="inlineStr">
        <is>
          <t>해당없음</t>
        </is>
      </c>
      <c r="L5" s="19" t="inlineStr">
        <is>
          <t>귀밑샘수술 후 귓불 감각저하의 원인 - 수술 전 환자설명 필수 항목</t>
        </is>
      </c>
      <c r="M5" s="18" t="n"/>
    </row>
    <row r="6" ht="27.75" customHeight="1">
      <c r="A6" s="16" t="inlineStr">
        <is>
          <t>☐</t>
        </is>
      </c>
      <c r="B6" s="17" t="inlineStr">
        <is>
          <t>목신경얼기(피부가지)</t>
        </is>
      </c>
      <c r="C6" s="19" t="inlineStr">
        <is>
          <t>목가로신경</t>
        </is>
      </c>
      <c r="D6" s="18" t="inlineStr">
        <is>
          <t>Transverse cervical nerve</t>
        </is>
      </c>
      <c r="E6" s="18" t="inlineStr">
        <is>
          <t>C2-C3</t>
        </is>
      </c>
      <c r="F6" s="19" t="inlineStr">
        <is>
          <t>목빗근 뒤모서리 중점(Erb점)에서 나와 앞쪽으로 목을 가로질러 주행</t>
        </is>
      </c>
      <c r="G6" s="19" t="inlineStr">
        <is>
          <t>없음</t>
        </is>
      </c>
      <c r="H6" s="19" t="inlineStr">
        <is>
          <t>앞목 피부</t>
        </is>
      </c>
      <c r="I6" s="19" t="inlineStr">
        <is>
          <t>없음</t>
        </is>
      </c>
      <c r="J6" s="19" t="inlineStr">
        <is>
          <t>목 앞쪽 수술 시 손상 가능</t>
        </is>
      </c>
      <c r="K6" s="19" t="inlineStr">
        <is>
          <t>해당없음</t>
        </is>
      </c>
      <c r="L6" s="19" t="inlineStr">
        <is>
          <t>갑상샘수술 후 앞목 감각이상의 원인 중 하나</t>
        </is>
      </c>
      <c r="M6" s="18" t="n"/>
    </row>
    <row r="7" ht="27.75" customHeight="1">
      <c r="A7" s="16" t="inlineStr">
        <is>
          <t>☐</t>
        </is>
      </c>
      <c r="B7" s="17" t="inlineStr">
        <is>
          <t>목신경얼기(피부가지)</t>
        </is>
      </c>
      <c r="C7" s="19" t="inlineStr">
        <is>
          <t>빗장위신경</t>
        </is>
      </c>
      <c r="D7" s="18" t="inlineStr">
        <is>
          <t>Supraclavicular nerves</t>
        </is>
      </c>
      <c r="E7" s="18" t="inlineStr">
        <is>
          <t>C3-C4</t>
        </is>
      </c>
      <c r="F7" s="19" t="inlineStr">
        <is>
          <t>목빗근 뒤모서리 중점(Erb점)에서 나와 아래가쪽 빗장뼈 부위로 주행(안쪽·중간·가쪽 가지)</t>
        </is>
      </c>
      <c r="G7" s="19" t="inlineStr">
        <is>
          <t>없음</t>
        </is>
      </c>
      <c r="H7" s="19" t="inlineStr">
        <is>
          <t>빗장뼈부위, 어깨 위쪽 피부</t>
        </is>
      </c>
      <c r="I7" s="19" t="inlineStr">
        <is>
          <t>없음</t>
        </is>
      </c>
      <c r="J7" s="19" t="inlineStr">
        <is>
          <t>빗장뼈골절·어깨수술 시 손상 가능</t>
        </is>
      </c>
      <c r="K7" s="19" t="inlineStr">
        <is>
          <t>해당없음</t>
        </is>
      </c>
      <c r="L7" s="19" t="inlineStr">
        <is>
          <t>가로막 자극에 의한 어깨연관통(C4)과 혼동 주의 - 이 신경은 어깨 '피부' 감각만 담당</t>
        </is>
      </c>
      <c r="M7" s="18" t="n"/>
    </row>
    <row r="8" ht="27.75" customHeight="1">
      <c r="A8" s="16" t="inlineStr">
        <is>
          <t>☐</t>
        </is>
      </c>
      <c r="B8" s="17" t="inlineStr">
        <is>
          <t>목신경얼기(피부가지)</t>
        </is>
      </c>
      <c r="C8" s="19" t="inlineStr">
        <is>
          <t>작은뒤통수신경</t>
        </is>
      </c>
      <c r="D8" s="18" t="inlineStr">
        <is>
          <t>Lesser occipital nerve</t>
        </is>
      </c>
      <c r="E8" s="18" t="inlineStr">
        <is>
          <t>C2</t>
        </is>
      </c>
      <c r="F8" s="19" t="inlineStr">
        <is>
          <t>목빗근 뒤모서리 중점(Erb점)에서 나와 위쪽 뒤통수 방향으로 주행</t>
        </is>
      </c>
      <c r="G8" s="19" t="inlineStr">
        <is>
          <t>없음</t>
        </is>
      </c>
      <c r="H8" s="19" t="inlineStr">
        <is>
          <t>뒤통수 가쪽부위, 귓바퀴 위쪽 피부</t>
        </is>
      </c>
      <c r="I8" s="19" t="inlineStr">
        <is>
          <t>없음</t>
        </is>
      </c>
      <c r="J8" s="19" t="inlineStr">
        <is>
          <t>목뒤 두통(occipital neuralgia)과 관련</t>
        </is>
      </c>
      <c r="K8" s="19" t="inlineStr">
        <is>
          <t>해당없음</t>
        </is>
      </c>
      <c r="L8" s="19" t="inlineStr">
        <is>
          <t>뒤통수신경통 - 큰뒤통수신경(C2 뒤가지, 척수신경 뒤가지 유래)과 감별 필요</t>
        </is>
      </c>
      <c r="M8" s="18" t="n"/>
    </row>
  </sheetData>
  <autoFilter ref="A2:M8"/>
  <mergeCells count="1">
    <mergeCell ref="A1:M1"/>
  </mergeCells>
  <dataValidations count="1">
    <dataValidation sqref="A3:A8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D4AC0D"/>
    <outlinePr summaryBelow="1" summaryRight="1"/>
    <pageSetUpPr/>
  </sheetPr>
  <dimension ref="A1:M1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:M1"/>
    </sheetView>
  </sheetViews>
  <sheetFormatPr baseColWidth="8" defaultColWidth="8.7109375" defaultRowHeight="15"/>
  <cols>
    <col width="7" customWidth="1" min="1" max="1"/>
    <col width="20" customWidth="1" min="2" max="2"/>
    <col width="22" customWidth="1" min="3" max="3"/>
    <col width="32" customWidth="1" min="4" max="4"/>
    <col width="30" customWidth="1" min="5" max="5"/>
    <col width="36" customWidth="1" min="6" max="6"/>
    <col width="32" customWidth="1" min="7" max="7"/>
    <col width="28" customWidth="1" min="8" max="8"/>
    <col width="22" customWidth="1" min="9" max="9"/>
    <col width="30" customWidth="1" min="10" max="10"/>
    <col width="22" customWidth="1" min="11" max="11"/>
    <col width="40" customWidth="1" min="12" max="12"/>
    <col width="18" customWidth="1" min="13" max="13"/>
  </cols>
  <sheetData>
    <row r="1" ht="30" customHeight="1">
      <c r="A1" s="4" t="inlineStr">
        <is>
          <t>팔신경얼기 (Brachial Plexus, C5-T1)  —  신경 학습 체크리스트  (총 13개)</t>
        </is>
      </c>
    </row>
    <row r="2" ht="24" customHeight="1">
      <c r="A2" s="9" t="inlineStr">
        <is>
          <t>체크</t>
        </is>
      </c>
      <c r="B2" s="9" t="inlineStr">
        <is>
          <t>그룹</t>
        </is>
      </c>
      <c r="C2" s="9" t="inlineStr">
        <is>
          <t>신경명(한글)</t>
        </is>
      </c>
      <c r="D2" s="9" t="inlineStr">
        <is>
          <t>신경명(영문)</t>
        </is>
      </c>
      <c r="E2" s="9" t="inlineStr">
        <is>
          <t>기시(신경뿌리/분절)</t>
        </is>
      </c>
      <c r="F2" s="9" t="inlineStr">
        <is>
          <t>주행경로</t>
        </is>
      </c>
      <c r="G2" s="9" t="inlineStr">
        <is>
          <t>운동지배(지배근육)</t>
        </is>
      </c>
      <c r="H2" s="9" t="inlineStr">
        <is>
          <t>감각지배(피부분포)</t>
        </is>
      </c>
      <c r="I2" s="9" t="inlineStr">
        <is>
          <t>반사</t>
        </is>
      </c>
      <c r="J2" s="9" t="inlineStr">
        <is>
          <t>포착·손상호발부위</t>
        </is>
      </c>
      <c r="K2" s="9" t="inlineStr">
        <is>
          <t>촉진 포인트</t>
        </is>
      </c>
      <c r="L2" s="9" t="inlineStr">
        <is>
          <t>임상 포인트</t>
        </is>
      </c>
      <c r="M2" s="9" t="inlineStr">
        <is>
          <t>메모</t>
        </is>
      </c>
    </row>
    <row r="3" ht="37.5" customHeight="1">
      <c r="A3" s="16" t="inlineStr">
        <is>
          <t>☐</t>
        </is>
      </c>
      <c r="B3" s="17" t="inlineStr">
        <is>
          <t>팔신경얼기(신경뿌리)</t>
        </is>
      </c>
      <c r="C3" s="19" t="inlineStr">
        <is>
          <t>긴가슴신경</t>
        </is>
      </c>
      <c r="D3" s="18" t="inlineStr">
        <is>
          <t>Long thoracic nerve</t>
        </is>
      </c>
      <c r="E3" s="18" t="inlineStr">
        <is>
          <t>C5-C7 (신경뿌리에서 직접, 신경얼기 형성 전)</t>
        </is>
      </c>
      <c r="F3" s="19" t="inlineStr">
        <is>
          <t>중간목갈비근을 뚫고 나와 앞톱니근 표면(가쪽가슴벽)을 따라 길게 아래로 주행</t>
        </is>
      </c>
      <c r="G3" s="19" t="inlineStr">
        <is>
          <t>앞톱니근</t>
        </is>
      </c>
      <c r="H3" s="19" t="inlineStr">
        <is>
          <t>없음</t>
        </is>
      </c>
      <c r="I3" s="19" t="inlineStr">
        <is>
          <t>없음</t>
        </is>
      </c>
      <c r="J3" s="19" t="inlineStr">
        <is>
          <t>겨드랑림프절절제술(유방암 수술) 시 손상 매우 흔함 - 표재성 주행으로 취약</t>
        </is>
      </c>
      <c r="K3" s="19" t="inlineStr">
        <is>
          <t>해당없음</t>
        </is>
      </c>
      <c r="L3" s="19" t="inlineStr">
        <is>
          <t>손상 시 날개어깨뼈(winging scapula) - 벽 미는 동작에서 두드러짐, 유방암 수술의 대표적 의인성 손상</t>
        </is>
      </c>
      <c r="M3" s="18" t="n"/>
    </row>
    <row r="4" ht="37.5" customHeight="1">
      <c r="A4" s="16" t="inlineStr">
        <is>
          <t>☐</t>
        </is>
      </c>
      <c r="B4" s="17" t="inlineStr">
        <is>
          <t>팔신경얼기(신경뿌리)</t>
        </is>
      </c>
      <c r="C4" s="19" t="inlineStr">
        <is>
          <t>어깨등신경(등쪽어깨신경)</t>
        </is>
      </c>
      <c r="D4" s="18" t="inlineStr">
        <is>
          <t>Dorsal scapular nerve</t>
        </is>
      </c>
      <c r="E4" s="18" t="inlineStr">
        <is>
          <t>C4-C5 (신경뿌리에서 직접)</t>
        </is>
      </c>
      <c r="F4" s="19" t="inlineStr">
        <is>
          <t>중간목갈비근을 뚫고 나와 어깨올림근 깊은면을 지나 마름근 깊은면으로 내려감</t>
        </is>
      </c>
      <c r="G4" s="19" t="inlineStr">
        <is>
          <t>어깨올림근, 큰마름근, 작은마름근</t>
        </is>
      </c>
      <c r="H4" s="19" t="inlineStr">
        <is>
          <t>없음</t>
        </is>
      </c>
      <c r="I4" s="19" t="inlineStr">
        <is>
          <t>없음</t>
        </is>
      </c>
      <c r="J4" s="19" t="inlineStr">
        <is>
          <t>중간목갈비근 관통부 포착(어깨등신경포착증후군)</t>
        </is>
      </c>
      <c r="K4" s="19" t="inlineStr">
        <is>
          <t>해당없음</t>
        </is>
      </c>
      <c r="L4" s="19" t="inlineStr">
        <is>
          <t>손상 시 안쪽형 날개어깨뼈(마름근 약화) — 긴가슴신경의 가쪽형과 감별 필요</t>
        </is>
      </c>
      <c r="M4" s="18" t="n"/>
    </row>
    <row r="5" ht="27.75" customHeight="1">
      <c r="A5" s="16" t="inlineStr">
        <is>
          <t>☐</t>
        </is>
      </c>
      <c r="B5" s="17" t="inlineStr">
        <is>
          <t>팔신경얼기(위줄기)</t>
        </is>
      </c>
      <c r="C5" s="19" t="inlineStr">
        <is>
          <t>어깨위신경</t>
        </is>
      </c>
      <c r="D5" s="18" t="inlineStr">
        <is>
          <t>Suprascapular nerve</t>
        </is>
      </c>
      <c r="E5" s="18" t="inlineStr">
        <is>
          <t>C5-C6 (위줄기에서 직접)</t>
        </is>
      </c>
      <c r="F5" s="19" t="inlineStr">
        <is>
          <t>어깨목뿔근 아래를 지나 어깨뼈 위패임(견갑절흔)을 통해 가시위오목으로</t>
        </is>
      </c>
      <c r="G5" s="19" t="inlineStr">
        <is>
          <t>가시위근, 가시아래근</t>
        </is>
      </c>
      <c r="H5" s="19" t="inlineStr">
        <is>
          <t>어깨관절 뒤쪽 일부(관절가지)</t>
        </is>
      </c>
      <c r="I5" s="19" t="inlineStr">
        <is>
          <t>없음</t>
        </is>
      </c>
      <c r="J5" s="19" t="inlineStr">
        <is>
          <t>어깨뼈 위패임에서 포착(어깨위신경포착증후군) - 배구·야구 등 반복동작 운동선수 호발</t>
        </is>
      </c>
      <c r="K5" s="19" t="inlineStr">
        <is>
          <t>해당없음</t>
        </is>
      </c>
      <c r="L5" s="19" t="inlineStr">
        <is>
          <t>손상 시 팔벌림 시작(가시위근)·가쪽돌림(가시아래근) 약화 - 회전근개 손상과 증상 감별 필요</t>
        </is>
      </c>
      <c r="M5" s="18" t="n"/>
    </row>
    <row r="6" ht="27.75" customHeight="1">
      <c r="A6" s="16" t="inlineStr">
        <is>
          <t>☐</t>
        </is>
      </c>
      <c r="B6" s="17" t="inlineStr">
        <is>
          <t>팔신경얼기(위줄기)</t>
        </is>
      </c>
      <c r="C6" s="19" t="inlineStr">
        <is>
          <t>빗장밑근신경</t>
        </is>
      </c>
      <c r="D6" s="18" t="inlineStr">
        <is>
          <t>Nerve to subclavius</t>
        </is>
      </c>
      <c r="E6" s="18" t="inlineStr">
        <is>
          <t>C5-C6 (위줄기)</t>
        </is>
      </c>
      <c r="F6" s="19" t="inlineStr">
        <is>
          <t>빗장밑정맥 앞을 지나 빗장밑근으로 짧게 주행</t>
        </is>
      </c>
      <c r="G6" s="19" t="inlineStr">
        <is>
          <t>빗장밑근</t>
        </is>
      </c>
      <c r="H6" s="19" t="inlineStr">
        <is>
          <t>없음</t>
        </is>
      </c>
      <c r="I6" s="19" t="inlineStr">
        <is>
          <t>없음</t>
        </is>
      </c>
      <c r="J6" s="19" t="inlineStr">
        <is>
          <t>빗장뼈골절 시 손상 가능(임상적 영향 경미)</t>
        </is>
      </c>
      <c r="K6" s="19" t="inlineStr">
        <is>
          <t>해당없음</t>
        </is>
      </c>
      <c r="L6" s="19" t="inlineStr">
        <is>
          <t>부신경가로막신경(accessory phrenic nerve)이 이 신경에서 갈라져 가로막신경에 합류하는 변이가 약 20-30%</t>
        </is>
      </c>
      <c r="M6" s="18" t="n"/>
    </row>
    <row r="7" ht="27.75" customHeight="1">
      <c r="A7" s="16" t="inlineStr">
        <is>
          <t>☐</t>
        </is>
      </c>
      <c r="B7" s="17" t="inlineStr">
        <is>
          <t>팔신경얼기(가쪽·안쪽신경다발)</t>
        </is>
      </c>
      <c r="C7" s="19" t="inlineStr">
        <is>
          <t>가쪽·안쪽가슴근신경</t>
        </is>
      </c>
      <c r="D7" s="18" t="inlineStr">
        <is>
          <t>Lateral &amp; medial pectoral nerves</t>
        </is>
      </c>
      <c r="E7" s="18" t="inlineStr">
        <is>
          <t>가쪽=C5-C7(가쪽신경다발) / 안쪽=C8-T1(안쪽신경다발)</t>
        </is>
      </c>
      <c r="F7" s="19" t="inlineStr">
        <is>
          <t>작은가슴근 위(가쪽) 또는 관통(안쪽)하여 큰가슴근 깊은면으로</t>
        </is>
      </c>
      <c r="G7" s="19" t="inlineStr">
        <is>
          <t>큰가슴근(가쪽·안쪽 모두), 작은가슴근(안쪽)</t>
        </is>
      </c>
      <c r="H7" s="19" t="inlineStr">
        <is>
          <t>없음</t>
        </is>
      </c>
      <c r="I7" s="19" t="inlineStr">
        <is>
          <t>없음</t>
        </is>
      </c>
      <c r="J7" s="19" t="inlineStr">
        <is>
          <t>유방수술·가슴근 피판술 시 손상 위험</t>
        </is>
      </c>
      <c r="K7" s="19" t="inlineStr">
        <is>
          <t>해당없음</t>
        </is>
      </c>
      <c r="L7" s="19" t="inlineStr">
        <is>
          <t>이름과 달리 '가쪽'이 위쪽(빗장갈래), '안쪽'이 아래쪽 섬유를 주로 지배 — 가슴근 피판 거상 시 보존 대상</t>
        </is>
      </c>
      <c r="M7" s="18" t="n"/>
    </row>
    <row r="8" ht="37.5" customHeight="1">
      <c r="A8" s="16" t="inlineStr">
        <is>
          <t>☐</t>
        </is>
      </c>
      <c r="B8" s="17" t="inlineStr">
        <is>
          <t>팔신경얼기(뒤신경다발)</t>
        </is>
      </c>
      <c r="C8" s="19" t="inlineStr">
        <is>
          <t>가슴등신경</t>
        </is>
      </c>
      <c r="D8" s="18" t="inlineStr">
        <is>
          <t>Thoracodorsal nerve</t>
        </is>
      </c>
      <c r="E8" s="18" t="inlineStr">
        <is>
          <t>C6-C8 (뒤신경다발)</t>
        </is>
      </c>
      <c r="F8" s="19" t="inlineStr">
        <is>
          <t>어깨밑근 뒤쪽을 따라 내려가 넓은등근으로</t>
        </is>
      </c>
      <c r="G8" s="19" t="inlineStr">
        <is>
          <t>넓은등근</t>
        </is>
      </c>
      <c r="H8" s="19" t="inlineStr">
        <is>
          <t>없음</t>
        </is>
      </c>
      <c r="I8" s="19" t="inlineStr">
        <is>
          <t>없음</t>
        </is>
      </c>
      <c r="J8" s="19" t="inlineStr">
        <is>
          <t>겨드랑림프절절제술·넓은등근피판술 시 손상 위험</t>
        </is>
      </c>
      <c r="K8" s="19" t="inlineStr">
        <is>
          <t>해당없음</t>
        </is>
      </c>
      <c r="L8" s="19" t="inlineStr">
        <is>
          <t>넓은등근피판(유방재건술)의 혈관신경경(가슴등동맥과 동반)으로 수술적으로 중요</t>
        </is>
      </c>
      <c r="M8" s="18" t="n"/>
    </row>
    <row r="9" ht="37.5" customHeight="1">
      <c r="A9" s="16" t="inlineStr">
        <is>
          <t>☐</t>
        </is>
      </c>
      <c r="B9" s="17" t="inlineStr">
        <is>
          <t>팔신경얼기(뒤신경다발)</t>
        </is>
      </c>
      <c r="C9" s="19" t="inlineStr">
        <is>
          <t>위·아래어깨밑신경</t>
        </is>
      </c>
      <c r="D9" s="18" t="inlineStr">
        <is>
          <t>Upper &amp; Lower subscapular nerves</t>
        </is>
      </c>
      <c r="E9" s="18" t="inlineStr">
        <is>
          <t>C5-C6 (뒤신경다발)</t>
        </is>
      </c>
      <c r="F9" s="19" t="inlineStr">
        <is>
          <t>어깨밑근 앞면을 따라 짧게 주행</t>
        </is>
      </c>
      <c r="G9" s="19" t="inlineStr">
        <is>
          <t>어깨밑근(위·아래 모두), 큰원근(아래어깨밑신경)</t>
        </is>
      </c>
      <c r="H9" s="19" t="inlineStr">
        <is>
          <t>없음</t>
        </is>
      </c>
      <c r="I9" s="19" t="inlineStr">
        <is>
          <t>없음</t>
        </is>
      </c>
      <c r="J9" s="19" t="inlineStr">
        <is>
          <t>어깨관절수술 시 손상 가능</t>
        </is>
      </c>
      <c r="K9" s="19" t="inlineStr">
        <is>
          <t>해당없음</t>
        </is>
      </c>
      <c r="L9" s="19" t="inlineStr">
        <is>
          <t>회전근개(어깨밑근)의 안쪽돌림 기능 담당 - 손상 시 안쪽돌림 약화</t>
        </is>
      </c>
      <c r="M9" s="18" t="n"/>
    </row>
    <row r="10" ht="37.5" customHeight="1">
      <c r="A10" s="16" t="inlineStr">
        <is>
          <t>☐</t>
        </is>
      </c>
      <c r="B10" s="17" t="inlineStr">
        <is>
          <t>팔신경얼기(안쪽신경다발)</t>
        </is>
      </c>
      <c r="C10" s="19" t="inlineStr">
        <is>
          <t>안쪽위팔·안쪽아래팔피부신경</t>
        </is>
      </c>
      <c r="D10" s="18" t="inlineStr">
        <is>
          <t>Medial brachial &amp; antebrachial cutaneous nerves</t>
        </is>
      </c>
      <c r="E10" s="18" t="inlineStr">
        <is>
          <t>C8-T1 (안쪽신경다발)</t>
        </is>
      </c>
      <c r="F10" s="19" t="inlineStr">
        <is>
          <t>겨드랑에서 갈라져 위팔·아래팔 안쪽 피부밑을 따라 내려감</t>
        </is>
      </c>
      <c r="G10" s="19" t="inlineStr">
        <is>
          <t>없음 (순수 감각신경)</t>
        </is>
      </c>
      <c r="H10" s="19" t="inlineStr">
        <is>
          <t>위팔 안쪽면, 아래팔 안쪽면 피부</t>
        </is>
      </c>
      <c r="I10" s="19" t="inlineStr">
        <is>
          <t>없음</t>
        </is>
      </c>
      <c r="J10" s="19" t="inlineStr">
        <is>
          <t>겨드랑림프절절제술·안쪽 위팔 수술 시 손상</t>
        </is>
      </c>
      <c r="K10" s="19" t="inlineStr">
        <is>
          <t>해당없음</t>
        </is>
      </c>
      <c r="L10" s="19" t="inlineStr">
        <is>
          <t>겨드랑림프절절제술 후 위팔 안쪽 감각이상의 원인 — 갈비사이위팔신경(T2)과 분포가 겹쳐 감별 필요</t>
        </is>
      </c>
      <c r="M10" s="18" t="n"/>
    </row>
    <row r="11" ht="37.5" customHeight="1">
      <c r="A11" s="16" t="inlineStr">
        <is>
          <t>☐</t>
        </is>
      </c>
      <c r="B11" s="17" t="inlineStr">
        <is>
          <t>팔신경얼기(뒤신경다발 끝가지)</t>
        </is>
      </c>
      <c r="C11" s="19" t="inlineStr">
        <is>
          <t>겨드랑신경</t>
        </is>
      </c>
      <c r="D11" s="18" t="inlineStr">
        <is>
          <t>Axillary nerve</t>
        </is>
      </c>
      <c r="E11" s="18" t="inlineStr">
        <is>
          <t>C5-C6 (뒤신경다발)</t>
        </is>
      </c>
      <c r="F11" s="19" t="inlineStr">
        <is>
          <t>뒤위팔휨동맥과 함께 네모간극(quadrangular space)을 통과해 어깨세모근 아래로</t>
        </is>
      </c>
      <c r="G11" s="19" t="inlineStr">
        <is>
          <t>어깨세모근, 작은원근</t>
        </is>
      </c>
      <c r="H11" s="19" t="inlineStr">
        <is>
          <t>어깨 가쪽 피부("군인계급장" 부위)</t>
        </is>
      </c>
      <c r="I11" s="19" t="inlineStr">
        <is>
          <t>없음</t>
        </is>
      </c>
      <c r="J11" s="19" t="inlineStr">
        <is>
          <t>어깨탈구, 위팔뼈 외과목 골절 시 손상 매우 흔함(네모간극 통과 중 취약)</t>
        </is>
      </c>
      <c r="K11" s="19" t="inlineStr">
        <is>
          <t>해당없음</t>
        </is>
      </c>
      <c r="L11" s="19" t="inlineStr">
        <is>
          <t>손상 시 어깨 가쪽 감각저하+어깨세모근마비(팔벌림 90도 이상 어려움) - 어깨탈구정복 후 반드시 확인</t>
        </is>
      </c>
      <c r="M11" s="18" t="n"/>
    </row>
    <row r="12" ht="37.5" customHeight="1">
      <c r="A12" s="16" t="inlineStr">
        <is>
          <t>☐</t>
        </is>
      </c>
      <c r="B12" s="17" t="inlineStr">
        <is>
          <t>팔신경얼기(가쪽신경다발 끝가지)</t>
        </is>
      </c>
      <c r="C12" s="19" t="inlineStr">
        <is>
          <t>근육피부신경</t>
        </is>
      </c>
      <c r="D12" s="18" t="inlineStr">
        <is>
          <t>Musculocutaneous nerve</t>
        </is>
      </c>
      <c r="E12" s="18" t="inlineStr">
        <is>
          <t>C5-C7 (가쪽신경다발)</t>
        </is>
      </c>
      <c r="F12" s="19" t="inlineStr">
        <is>
          <t>부리위팔근을 뚫고 지나 위팔두갈래근과 위팔근 사이로 주행, 팔꿈치 부근에서 가쪽아래팔피부신경으로 이어짐</t>
        </is>
      </c>
      <c r="G12" s="19" t="inlineStr">
        <is>
          <t>위팔두갈래근, 위팔근, 부리위팔근</t>
        </is>
      </c>
      <c r="H12" s="19" t="inlineStr">
        <is>
          <t>아래팔 가쪽 피부(가쪽아래팔피부신경)</t>
        </is>
      </c>
      <c r="I12" s="19" t="inlineStr">
        <is>
          <t>위팔두갈래근반사(biceps reflex, C5-C6)</t>
        </is>
      </c>
      <c r="J12" s="19" t="inlineStr">
        <is>
          <t>부리위팔근 관통부 손상(드묾), 위팔 앞칸 심한 외상</t>
        </is>
      </c>
      <c r="K12" s="19" t="inlineStr">
        <is>
          <t>해당없음</t>
        </is>
      </c>
      <c r="L12" s="19" t="inlineStr">
        <is>
          <t>위팔두갈래근반사의 구심/원심 경로 - C5-C6 신경뿌리병증 평가에 사용</t>
        </is>
      </c>
      <c r="M12" s="18" t="n"/>
    </row>
    <row r="13" ht="37.5" customHeight="1">
      <c r="A13" s="16" t="inlineStr">
        <is>
          <t>☐</t>
        </is>
      </c>
      <c r="B13" s="17" t="inlineStr">
        <is>
          <t>팔신경얼기(안쪽+가쪽신경다발 끝가지)</t>
        </is>
      </c>
      <c r="C13" s="19" t="inlineStr">
        <is>
          <t>정중신경</t>
        </is>
      </c>
      <c r="D13" s="18" t="inlineStr">
        <is>
          <t>Median nerve</t>
        </is>
      </c>
      <c r="E13" s="18" t="inlineStr">
        <is>
          <t>C6-T1 (안쪽·가쪽신경다발이 합쳐짐)</t>
        </is>
      </c>
      <c r="F13" s="19" t="inlineStr">
        <is>
          <t>위팔에서 위팔동맥과 동반주행(안쪽→가쪽 교차), 팔꿈치에서 원엎침근 두 갈래 사이를 지나 아래팔 앞칸을 따라 내려가 손목굴을 통해 손으로</t>
        </is>
      </c>
      <c r="G13" s="19" t="inlineStr">
        <is>
          <t>아래팔 앞칸 대부분(자쪽손목굽힘근·손가락깊은굽힘근 안쪽half 제외), 엄지두덩근 일부(LOAF근: 엄지벌림근·맞섬근·짧은굽힘근 얕은갈래·1·2벌레근)</t>
        </is>
      </c>
      <c r="H13" s="19" t="inlineStr">
        <is>
          <t>손바닥 가쪽 2/3(엄지~약지 절반), 해당 손가락 손등쪽 끝마디</t>
        </is>
      </c>
      <c r="I13" s="19" t="inlineStr">
        <is>
          <t>없음(단독 반사 없음)</t>
        </is>
      </c>
      <c r="J13" s="19" t="inlineStr">
        <is>
          <t>손목굴(수근관, 가장 흔한 포착신경병증), 원엎침근증후군(팔꿈치부), 상과상골절 시 손상</t>
        </is>
      </c>
      <c r="K13" s="19" t="inlineStr">
        <is>
          <t>해당없음 (직접 촉진 어려움)</t>
        </is>
      </c>
      <c r="L13" s="19" t="inlineStr">
        <is>
          <t>손목굴증후군의 대상신경(야간 손저림, Tinel/Phalen 징후 양성) - 손상 시 축복손(benediction hand) 또는 원숭이손 변형</t>
        </is>
      </c>
      <c r="M13" s="18" t="n"/>
    </row>
    <row r="14" ht="37.5" customHeight="1">
      <c r="A14" s="16" t="inlineStr">
        <is>
          <t>☐</t>
        </is>
      </c>
      <c r="B14" s="17" t="inlineStr">
        <is>
          <t>팔신경얼기(안쪽신경다발 끝가지)</t>
        </is>
      </c>
      <c r="C14" s="19" t="inlineStr">
        <is>
          <t>자신경</t>
        </is>
      </c>
      <c r="D14" s="18" t="inlineStr">
        <is>
          <t>Ulnar nerve</t>
        </is>
      </c>
      <c r="E14" s="18" t="inlineStr">
        <is>
          <t>C8-T1 (안쪽신경다발)</t>
        </is>
      </c>
      <c r="F14" s="19" t="inlineStr">
        <is>
          <t>위팔 안쪽을 내려가 안쪽위관절융기 뒤 자신경고랑(팔꿈치터널)을 지나 아래팔 안쪽을 따라 Guyon관을 통해 손으로</t>
        </is>
      </c>
      <c r="G14" s="19" t="inlineStr">
        <is>
          <t>자쪽손목굽힘근, 손가락깊은굽힘근 안쪽half, 손 내재근 대부분(뼈사이근, 새끼두덩근, 엄지모음근, 3·4벌레근)</t>
        </is>
      </c>
      <c r="H14" s="19" t="inlineStr">
        <is>
          <t>손 안쪽 1/3(새끼손가락 전체+약지 절반), 손등 안쪽 일부</t>
        </is>
      </c>
      <c r="I14" s="19" t="inlineStr">
        <is>
          <t>없음(단독 반사 없음)</t>
        </is>
      </c>
      <c r="J14" s="19" t="inlineStr">
        <is>
          <t>팔꿈치터널(자신경고랑, 두번째로 흔한 포착부위), Guyon관(손목)</t>
        </is>
      </c>
      <c r="K14" s="19" t="inlineStr">
        <is>
          <t>안쪽위관절융기 뒤쪽 고랑 (팔꿈치를 부딪히면 저릿함이 오는 부위)</t>
        </is>
      </c>
      <c r="L14" s="19" t="inlineStr">
        <is>
          <t>손상 시 갈퀴손(claw hand) 변형(4·5번째 손가락 두드러짐), Froment 징후(엄지모음근 약화 보상)</t>
        </is>
      </c>
      <c r="M14" s="18" t="n"/>
    </row>
    <row r="15" ht="37.5" customHeight="1">
      <c r="A15" s="16" t="inlineStr">
        <is>
          <t>☐</t>
        </is>
      </c>
      <c r="B15" s="17" t="inlineStr">
        <is>
          <t>팔신경얼기(뒤신경다발 끝가지)</t>
        </is>
      </c>
      <c r="C15" s="19" t="inlineStr">
        <is>
          <t>노신경</t>
        </is>
      </c>
      <c r="D15" s="18" t="inlineStr">
        <is>
          <t>Radial nerve</t>
        </is>
      </c>
      <c r="E15" s="18" t="inlineStr">
        <is>
          <t>C5-T1 (뒤신경다발, 팔신경얼기 최대 가지)</t>
        </is>
      </c>
      <c r="F15" s="19" t="inlineStr">
        <is>
          <t>위팔뼈 노신경고랑을 따라 뒤쪽에서 나선형으로 감아 돌며 내려가 가쪽위관절융기 앞쪽에서 얕은가지·깊은가지(뒤뼈사이신경)로 분지</t>
        </is>
      </c>
      <c r="G15" s="19" t="inlineStr">
        <is>
          <t>위팔세갈래근, 팔꿈치근, 아래팔 뒤칸(폄근) 전체, 위팔노근</t>
        </is>
      </c>
      <c r="H15" s="19" t="inlineStr">
        <is>
          <t>위팔·아래팔 뒤면, 손등 가쪽(엄지~중지 절반의 손등면)</t>
        </is>
      </c>
      <c r="I15" s="19" t="inlineStr">
        <is>
          <t>위팔세갈래근반사(triceps reflex, C7-C8)</t>
        </is>
      </c>
      <c r="J15" s="19" t="inlineStr">
        <is>
          <t>위팔뼈 몸통골절(노신경고랑 부위 - 가장 흔한 신경손상 동반골절), 회외근 포착(뒤뼈사이신경증후군), 겨드랑이 목발압박</t>
        </is>
      </c>
      <c r="K15" s="19" t="inlineStr">
        <is>
          <t>해당없음</t>
        </is>
      </c>
      <c r="L15" s="19" t="inlineStr">
        <is>
          <t>손목처짐(wrist drop)의 원인 신경 - 위팔뼈 중간축 골절 시 반드시 확인, "Saturday night palsy"로도 유명</t>
        </is>
      </c>
      <c r="M15" s="18" t="n"/>
    </row>
  </sheetData>
  <autoFilter ref="A2:M11"/>
  <mergeCells count="1">
    <mergeCell ref="A1:M1"/>
  </mergeCells>
  <dataValidations count="1">
    <dataValidation sqref="A3:A15" showDropDown="0" showInputMessage="0" showErrorMessage="0" allowBlank="1" type="list">
      <formula1>"☐,☑"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1C40F"/>
    <outlinePr summaryBelow="1" summaryRight="1"/>
    <pageSetUpPr/>
  </sheetPr>
  <dimension ref="A1:M4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baseColWidth="8" defaultColWidth="8.7109375" defaultRowHeight="15"/>
  <cols>
    <col width="7" customWidth="1" min="1" max="1"/>
    <col width="20" customWidth="1" min="2" max="2"/>
    <col width="22" customWidth="1" min="3" max="3"/>
    <col width="32" customWidth="1" min="4" max="4"/>
    <col width="30" customWidth="1" min="5" max="5"/>
    <col width="36" customWidth="1" min="6" max="6"/>
    <col width="32" customWidth="1" min="7" max="7"/>
    <col width="28" customWidth="1" min="8" max="8"/>
    <col width="22" customWidth="1" min="9" max="9"/>
    <col width="30" customWidth="1" min="10" max="10"/>
    <col width="22" customWidth="1" min="11" max="11"/>
    <col width="40" customWidth="1" min="12" max="12"/>
    <col width="18" customWidth="1" min="13" max="13"/>
  </cols>
  <sheetData>
    <row r="1" ht="30" customHeight="1">
      <c r="A1" s="3" t="inlineStr">
        <is>
          <t>가슴신경 (Thoracic / Intercostal Nerves)  —  신경 학습 체크리스트  (총 2개)</t>
        </is>
      </c>
    </row>
    <row r="2" ht="24" customHeight="1">
      <c r="A2" s="9" t="inlineStr">
        <is>
          <t>체크</t>
        </is>
      </c>
      <c r="B2" s="9" t="inlineStr">
        <is>
          <t>그룹</t>
        </is>
      </c>
      <c r="C2" s="9" t="inlineStr">
        <is>
          <t>신경명(한글)</t>
        </is>
      </c>
      <c r="D2" s="9" t="inlineStr">
        <is>
          <t>신경명(영문)</t>
        </is>
      </c>
      <c r="E2" s="9" t="inlineStr">
        <is>
          <t>기시(신경뿌리/분절)</t>
        </is>
      </c>
      <c r="F2" s="9" t="inlineStr">
        <is>
          <t>주행경로</t>
        </is>
      </c>
      <c r="G2" s="9" t="inlineStr">
        <is>
          <t>운동지배(지배근육)</t>
        </is>
      </c>
      <c r="H2" s="9" t="inlineStr">
        <is>
          <t>감각지배(피부분포)</t>
        </is>
      </c>
      <c r="I2" s="9" t="inlineStr">
        <is>
          <t>반사</t>
        </is>
      </c>
      <c r="J2" s="9" t="inlineStr">
        <is>
          <t>포착·손상호발부위</t>
        </is>
      </c>
      <c r="K2" s="9" t="inlineStr">
        <is>
          <t>촉진 포인트</t>
        </is>
      </c>
      <c r="L2" s="9" t="inlineStr">
        <is>
          <t>임상 포인트</t>
        </is>
      </c>
      <c r="M2" s="9" t="inlineStr">
        <is>
          <t>메모</t>
        </is>
      </c>
    </row>
    <row r="3" ht="27.75" customHeight="1">
      <c r="A3" s="16" t="inlineStr">
        <is>
          <t>☐</t>
        </is>
      </c>
      <c r="B3" s="17" t="inlineStr">
        <is>
          <t>가슴신경</t>
        </is>
      </c>
      <c r="C3" s="19" t="inlineStr">
        <is>
          <t>갈비사이신경</t>
        </is>
      </c>
      <c r="D3" s="18" t="inlineStr">
        <is>
          <t>Intercostal nerves (T1-T11)</t>
        </is>
      </c>
      <c r="E3" s="18" t="inlineStr">
        <is>
          <t>T1-T11 배쪽가지 (분절적 주행, 신경얼기 형성 안 함)</t>
        </is>
      </c>
      <c r="F3" s="19" t="inlineStr">
        <is>
          <t>갈비뼈 아래모서리 갈비고랑을 따라 앞으로 주행 (정맥-동맥-신경 순, VAN)</t>
        </is>
      </c>
      <c r="G3" s="19" t="inlineStr">
        <is>
          <t>갈비사이근(바깥·속·맨속), 배벽근육 일부(하위갈비사이신경 T7-T11)</t>
        </is>
      </c>
      <c r="H3" s="19" t="inlineStr">
        <is>
          <t>가슴벽·배벽 피부(분절적 띠모양) - T4=젖꼭지 높이, T10=배꼽 높이</t>
        </is>
      </c>
      <c r="I3" s="19" t="inlineStr">
        <is>
          <t>배피부반사(복벽반사, T7-T12)</t>
        </is>
      </c>
      <c r="J3" s="19" t="inlineStr">
        <is>
          <t>대상포진(분절성 발진), 개흉수술 후 갈비사이신경통</t>
        </is>
      </c>
      <c r="K3" s="19" t="inlineStr">
        <is>
          <t>해당없음</t>
        </is>
      </c>
      <c r="L3" s="18" t="inlineStr">
        <is>
          <t>T4=젖꼭지, T10=배꼽 감각높이는 척수손상 평면(level) 진단의 핵심 랜드마크</t>
        </is>
      </c>
      <c r="M3" s="18" t="n"/>
    </row>
    <row r="4" ht="27.75" customHeight="1">
      <c r="A4" s="16" t="inlineStr">
        <is>
          <t>☐</t>
        </is>
      </c>
      <c r="B4" s="17" t="inlineStr">
        <is>
          <t>가슴신경</t>
        </is>
      </c>
      <c r="C4" s="19" t="inlineStr">
        <is>
          <t>갈비밑신경</t>
        </is>
      </c>
      <c r="D4" s="18" t="inlineStr">
        <is>
          <t>Subcostal nerve (T12)</t>
        </is>
      </c>
      <c r="E4" s="18" t="inlineStr">
        <is>
          <t>T12 배쪽가지</t>
        </is>
      </c>
      <c r="F4" s="18" t="inlineStr">
        <is>
          <t>12번째 갈비뼈 아래모서리를 따라 주행하여 배벽으로 진입, 허리신경얼기 형성에 일부 기여</t>
        </is>
      </c>
      <c r="G4" s="19" t="inlineStr">
        <is>
          <t>배벽근육 일부(배가로근, 배속빗근)</t>
        </is>
      </c>
      <c r="H4" s="19" t="inlineStr">
        <is>
          <t>아래배벽·볼기 위가쪽 피부</t>
        </is>
      </c>
      <c r="I4" s="19" t="inlineStr">
        <is>
          <t>없음</t>
        </is>
      </c>
      <c r="J4" s="19" t="inlineStr">
        <is>
          <t>옆구리 신장수술(콩팥절제술) 접근 시 손상 위험</t>
        </is>
      </c>
      <c r="K4" s="19" t="inlineStr">
        <is>
          <t>해당없음</t>
        </is>
      </c>
      <c r="L4" s="19" t="inlineStr">
        <is>
          <t>콩팥수술(옆구리 절개) 후 배벽 근력약화·감각이상의 원인이 될 수 있음</t>
        </is>
      </c>
      <c r="M4" s="18" t="n"/>
    </row>
  </sheetData>
  <autoFilter ref="A2:M4"/>
  <mergeCells count="1">
    <mergeCell ref="A1:M1"/>
  </mergeCells>
  <dataValidations count="1">
    <dataValidation sqref="A3:A4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F7DC6F"/>
    <outlinePr summaryBelow="1" summaryRight="1"/>
    <pageSetUpPr/>
  </sheetPr>
  <dimension ref="A1:M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20" customWidth="1" min="2" max="2"/>
    <col width="22" customWidth="1" min="3" max="3"/>
    <col width="32" customWidth="1" min="4" max="4"/>
    <col width="30" customWidth="1" min="5" max="5"/>
    <col width="36" customWidth="1" min="6" max="6"/>
    <col width="32" customWidth="1" min="7" max="7"/>
    <col width="28" customWidth="1" min="8" max="8"/>
    <col width="22" customWidth="1" min="9" max="9"/>
    <col width="30" customWidth="1" min="10" max="10"/>
    <col width="22" customWidth="1" min="11" max="11"/>
    <col width="40" customWidth="1" min="12" max="12"/>
    <col width="18" customWidth="1" min="13" max="13"/>
  </cols>
  <sheetData>
    <row r="1" ht="30" customHeight="1">
      <c r="A1" s="2" t="inlineStr">
        <is>
          <t>허리신경얼기 (Lumbar Plexus, L1-L4)  —  신경 학습 체크리스트  (총 7개)</t>
        </is>
      </c>
    </row>
    <row r="2" ht="24" customHeight="1">
      <c r="A2" s="9" t="inlineStr">
        <is>
          <t>체크</t>
        </is>
      </c>
      <c r="B2" s="9" t="inlineStr">
        <is>
          <t>그룹</t>
        </is>
      </c>
      <c r="C2" s="9" t="inlineStr">
        <is>
          <t>신경명(한글)</t>
        </is>
      </c>
      <c r="D2" s="9" t="inlineStr">
        <is>
          <t>신경명(영문)</t>
        </is>
      </c>
      <c r="E2" s="9" t="inlineStr">
        <is>
          <t>기시(신경뿌리/분절)</t>
        </is>
      </c>
      <c r="F2" s="9" t="inlineStr">
        <is>
          <t>주행경로</t>
        </is>
      </c>
      <c r="G2" s="9" t="inlineStr">
        <is>
          <t>운동지배(지배근육)</t>
        </is>
      </c>
      <c r="H2" s="9" t="inlineStr">
        <is>
          <t>감각지배(피부분포)</t>
        </is>
      </c>
      <c r="I2" s="9" t="inlineStr">
        <is>
          <t>반사</t>
        </is>
      </c>
      <c r="J2" s="9" t="inlineStr">
        <is>
          <t>포착·손상호발부위</t>
        </is>
      </c>
      <c r="K2" s="9" t="inlineStr">
        <is>
          <t>촉진 포인트</t>
        </is>
      </c>
      <c r="L2" s="9" t="inlineStr">
        <is>
          <t>임상 포인트</t>
        </is>
      </c>
      <c r="M2" s="9" t="inlineStr">
        <is>
          <t>메모</t>
        </is>
      </c>
    </row>
    <row r="3" ht="27.75" customHeight="1">
      <c r="A3" s="16" t="inlineStr">
        <is>
          <t>☐</t>
        </is>
      </c>
      <c r="B3" s="17" t="inlineStr">
        <is>
          <t>허리신경얼기</t>
        </is>
      </c>
      <c r="C3" s="19" t="inlineStr">
        <is>
          <t>엉덩아랫배신경</t>
        </is>
      </c>
      <c r="D3" s="18" t="inlineStr">
        <is>
          <t>Iliohypogastric nerve</t>
        </is>
      </c>
      <c r="E3" s="18" t="inlineStr">
        <is>
          <t>L1</t>
        </is>
      </c>
      <c r="F3" s="19" t="inlineStr">
        <is>
          <t>허리네모근 앞면을 지나 배가로근·배속빗근 사이로 주행하여 아래배벽으로</t>
        </is>
      </c>
      <c r="G3" s="19" t="inlineStr">
        <is>
          <t>배가로근, 배속빗근(아래부분)</t>
        </is>
      </c>
      <c r="H3" s="19" t="inlineStr">
        <is>
          <t>아래배벽(두덩위부위), 볼기 가쪽 위부분 피부</t>
        </is>
      </c>
      <c r="I3" s="19" t="inlineStr">
        <is>
          <t>없음</t>
        </is>
      </c>
      <c r="J3" s="19" t="inlineStr">
        <is>
          <t>충수절제술(McBurney 절개)·샅고랑탈장수술 시 손상 위험</t>
        </is>
      </c>
      <c r="K3" s="19" t="inlineStr">
        <is>
          <t>해당없음</t>
        </is>
      </c>
      <c r="L3" s="19" t="inlineStr">
        <is>
          <t>탈장수술 후 만성 샅고랑부위 통증(신경종·포착)의 흔한 원인신경 중 하나</t>
        </is>
      </c>
      <c r="M3" s="18" t="n"/>
    </row>
    <row r="4" ht="27.75" customHeight="1">
      <c r="A4" s="16" t="inlineStr">
        <is>
          <t>☐</t>
        </is>
      </c>
      <c r="B4" s="17" t="inlineStr">
        <is>
          <t>허리신경얼기</t>
        </is>
      </c>
      <c r="C4" s="19" t="inlineStr">
        <is>
          <t>엉덩샅고랑신경</t>
        </is>
      </c>
      <c r="D4" s="18" t="inlineStr">
        <is>
          <t>Ilioinguinal nerve</t>
        </is>
      </c>
      <c r="E4" s="18" t="inlineStr">
        <is>
          <t>L1</t>
        </is>
      </c>
      <c r="F4" s="19" t="inlineStr">
        <is>
          <t>엉덩아랫배신경과 나란히 주행하다 샅고랑관을 통과하여 나옴</t>
        </is>
      </c>
      <c r="G4" s="19" t="inlineStr">
        <is>
          <t>배가로근·배속빗근 아래부분(엉덩아랫배신경과 공유)</t>
        </is>
      </c>
      <c r="H4" s="19" t="inlineStr">
        <is>
          <t>두덩부위 피부, 음낭 위쪽/대음순 앞부분 피부</t>
        </is>
      </c>
      <c r="I4" s="19" t="inlineStr">
        <is>
          <t>고환올림근반사 구심로 일부 기여</t>
        </is>
      </c>
      <c r="J4" s="19" t="inlineStr">
        <is>
          <t>샅고랑탈장수술 시 손상·포착 매우 흔함(만성 샅고랑통증 주원인)</t>
        </is>
      </c>
      <c r="K4" s="19" t="inlineStr">
        <is>
          <t>해당없음</t>
        </is>
      </c>
      <c r="L4" s="19" t="inlineStr">
        <is>
          <t>탈장수술 후 만성통증증후군의 대표 원인신경 - 그물망(mesh) 고정 시 신경포착 주의</t>
        </is>
      </c>
      <c r="M4" s="18" t="n"/>
    </row>
    <row r="5" ht="27.75" customHeight="1">
      <c r="A5" s="16" t="inlineStr">
        <is>
          <t>☐</t>
        </is>
      </c>
      <c r="B5" s="17" t="inlineStr">
        <is>
          <t>허리신경얼기</t>
        </is>
      </c>
      <c r="C5" s="19" t="inlineStr">
        <is>
          <t>생식넙다리신경</t>
        </is>
      </c>
      <c r="D5" s="18" t="inlineStr">
        <is>
          <t>Genitofemoral nerve</t>
        </is>
      </c>
      <c r="E5" s="18" t="inlineStr">
        <is>
          <t>L1-L2</t>
        </is>
      </c>
      <c r="F5" s="19" t="inlineStr">
        <is>
          <t>허리근을 뚫고 나와 앞면을 타고 내려가 생식가지·넙다리가지로 분지</t>
        </is>
      </c>
      <c r="G5" s="19" t="inlineStr">
        <is>
          <t>고환올림근(생식가지, 남성)</t>
        </is>
      </c>
      <c r="H5" s="19" t="inlineStr">
        <is>
          <t>음낭/대음순 앞부분(생식가지), 넙다리 위앞부분 피부(넙다리가지)</t>
        </is>
      </c>
      <c r="I5" s="19" t="inlineStr">
        <is>
          <t>고환올림근반사(cremasteric reflex, L1-L2)의 구심+원심로</t>
        </is>
      </c>
      <c r="J5" s="19" t="inlineStr">
        <is>
          <t>샅고랑탈장수술, 후복막강 수술 시 손상 위험</t>
        </is>
      </c>
      <c r="K5" s="19" t="inlineStr">
        <is>
          <t>해당없음</t>
        </is>
      </c>
      <c r="L5" s="19" t="inlineStr">
        <is>
          <t>고환올림근반사(L1-L2 평가) - 신경학적 검사에서 척수손상 수준 확인에 사용</t>
        </is>
      </c>
      <c r="M5" s="18" t="n"/>
    </row>
    <row r="6" ht="37.5" customHeight="1">
      <c r="A6" s="16" t="inlineStr">
        <is>
          <t>☐</t>
        </is>
      </c>
      <c r="B6" s="17" t="inlineStr">
        <is>
          <t>허리신경얼기</t>
        </is>
      </c>
      <c r="C6" s="19" t="inlineStr">
        <is>
          <t>가쪽넙다리피부신경</t>
        </is>
      </c>
      <c r="D6" s="18" t="inlineStr">
        <is>
          <t>Lateral femoral cutaneous nerve</t>
        </is>
      </c>
      <c r="E6" s="18" t="inlineStr">
        <is>
          <t>L2-L3</t>
        </is>
      </c>
      <c r="F6" s="19" t="inlineStr">
        <is>
          <t>허리근 가쪽모서리로 나와 골반 안쪽을 지나 위앞엉덩가시 안쪽 아래로 샅고랑인대 밑을 통과</t>
        </is>
      </c>
      <c r="G6" s="19" t="inlineStr">
        <is>
          <t>없음 (순수 감각신경)</t>
        </is>
      </c>
      <c r="H6" s="19" t="inlineStr">
        <is>
          <t>넙다리 앞가쪽 피부</t>
        </is>
      </c>
      <c r="I6" s="19" t="inlineStr">
        <is>
          <t>없음</t>
        </is>
      </c>
      <c r="J6" s="19" t="inlineStr">
        <is>
          <t>샅고랑인대 통과부에서 포착 (감각이상성 대퇴신경통, meralgia paresthetica - 비만·임신·꽉 끼는 벨트와 관련)</t>
        </is>
      </c>
      <c r="K6" s="19" t="inlineStr">
        <is>
          <t>해당없음</t>
        </is>
      </c>
      <c r="L6" s="19" t="inlineStr">
        <is>
          <t>감각이상성 대퇴신경통의 원인신경 - 순수 감각신경이라 운동장애 없이 저림·감각이상만 나타남</t>
        </is>
      </c>
      <c r="M6" s="18" t="n"/>
    </row>
    <row r="7" ht="37.5" customHeight="1">
      <c r="A7" s="16" t="inlineStr">
        <is>
          <t>☐</t>
        </is>
      </c>
      <c r="B7" s="17" t="inlineStr">
        <is>
          <t>허리신경얼기(최대 가지)</t>
        </is>
      </c>
      <c r="C7" s="19" t="inlineStr">
        <is>
          <t>넙다리신경</t>
        </is>
      </c>
      <c r="D7" s="18" t="inlineStr">
        <is>
          <t>Femoral nerve</t>
        </is>
      </c>
      <c r="E7" s="18" t="inlineStr">
        <is>
          <t>L2-L4</t>
        </is>
      </c>
      <c r="F7" s="19" t="inlineStr">
        <is>
          <t>허리근과 엉덩근 사이 고랑을 따라 내려가 샅고랑인대 아래(넙다리혈관 가쪽)를 지나 넙다리세모로</t>
        </is>
      </c>
      <c r="G7" s="19" t="inlineStr">
        <is>
          <t>넙다리네갈래근(넙다리곧은근·안쪽/중간/가쪽넓은근), 넙다리빗근, 두덩근</t>
        </is>
      </c>
      <c r="H7" s="19" t="inlineStr">
        <is>
          <t>넙다리 앞면 피부, 정강 안쪽면(두렁신경, 무릎 아래까지 이어짐)</t>
        </is>
      </c>
      <c r="I7" s="19" t="inlineStr">
        <is>
          <t>무릎반사(patellar reflex, 주로 L4)</t>
        </is>
      </c>
      <c r="J7" s="19" t="inlineStr">
        <is>
          <t>골반골절, 후복막강 혈종(허리근 안에서 압박), 넙다리혈관 카테터 시술 시 인접 손상</t>
        </is>
      </c>
      <c r="K7" s="19" t="inlineStr">
        <is>
          <t>해당없음</t>
        </is>
      </c>
      <c r="L7" s="19" t="inlineStr">
        <is>
          <t>무릎반사의 구심/원심 경로(L4 평가) - 손상 시 무릎펴짐 약화·계단오르기 곤란, 두렁신경은 무릎 아래까지 감각을 담당하는 유일한 넙다리신경 가지</t>
        </is>
      </c>
      <c r="M7" s="18" t="n"/>
    </row>
    <row r="8" ht="27.75" customHeight="1">
      <c r="A8" s="16" t="inlineStr">
        <is>
          <t>☐</t>
        </is>
      </c>
      <c r="B8" s="17" t="inlineStr">
        <is>
          <t>허리신경얼기(넙다리신경 가지)</t>
        </is>
      </c>
      <c r="C8" s="19" t="inlineStr">
        <is>
          <t>두렁신경(복재신경)</t>
        </is>
      </c>
      <c r="D8" s="18" t="inlineStr">
        <is>
          <t>Saphenous nerve</t>
        </is>
      </c>
      <c r="E8" s="18" t="inlineStr">
        <is>
          <t>L3-L4 (넙다리신경 최대 피부가지)</t>
        </is>
      </c>
      <c r="F8" s="19" t="inlineStr">
        <is>
          <t>넙다리세모에서 모음근관(Hunter관)을 따라 내려가다 관을 뚫고 나와 무릎 안쪽·정강 안쪽으로 표재화</t>
        </is>
      </c>
      <c r="G8" s="19" t="inlineStr">
        <is>
          <t>없음 (순수 감각신경)</t>
        </is>
      </c>
      <c r="H8" s="19" t="inlineStr">
        <is>
          <t>무릎 안쪽, 정강 안쪽면, 발 안쪽모서리까지</t>
        </is>
      </c>
      <c r="I8" s="19" t="inlineStr">
        <is>
          <t>없음</t>
        </is>
      </c>
      <c r="J8" s="19" t="inlineStr">
        <is>
          <t>모음근관 출구 포착, 무릎관절경·큰두렁정맥 제거술(stripping) 시 손상</t>
        </is>
      </c>
      <c r="K8" s="19" t="inlineStr">
        <is>
          <t>해당없음</t>
        </is>
      </c>
      <c r="L8" s="19" t="inlineStr">
        <is>
          <t>무릎 아래까지 내려가는 유일한 넙다리신경 가지 — 하지정맥류 수술 후 정강 안쪽 저림의 대표 원인</t>
        </is>
      </c>
      <c r="M8" s="18" t="n"/>
    </row>
    <row r="9" ht="27.75" customHeight="1">
      <c r="A9" s="16" t="inlineStr">
        <is>
          <t>☐</t>
        </is>
      </c>
      <c r="B9" s="17" t="inlineStr">
        <is>
          <t>허리신경얼기</t>
        </is>
      </c>
      <c r="C9" s="19" t="inlineStr">
        <is>
          <t>폐쇄신경</t>
        </is>
      </c>
      <c r="D9" s="18" t="inlineStr">
        <is>
          <t>Obturator nerve</t>
        </is>
      </c>
      <c r="E9" s="18" t="inlineStr">
        <is>
          <t>L2-L4</t>
        </is>
      </c>
      <c r="F9" s="19" t="inlineStr">
        <is>
          <t>허리근 안쪽모서리를 따라 내려가 골반 옆벽을 지나 폐쇄구멍(폐쇄관)을 통해 넙다리 안쪽으로</t>
        </is>
      </c>
      <c r="G9" s="19" t="inlineStr">
        <is>
          <t>모음근군(긴/짧은/큰모음근, 두덩근, 두덩정강근), 바깥폐쇄근</t>
        </is>
      </c>
      <c r="H9" s="19" t="inlineStr">
        <is>
          <t>넙다리 안쪽면 피부(작은 영역)</t>
        </is>
      </c>
      <c r="I9" s="19" t="inlineStr">
        <is>
          <t>모음근반사(obturator reflex, 임상에서는 덜 흔히 사용)</t>
        </is>
      </c>
      <c r="J9" s="19" t="inlineStr">
        <is>
          <t>골반수술(부인과 수술), 난산 시 압박손상</t>
        </is>
      </c>
      <c r="K9" s="19" t="inlineStr">
        <is>
          <t>해당없음</t>
        </is>
      </c>
      <c r="L9" s="19" t="inlineStr">
        <is>
          <t>손상 시 넙다리모음 약화 - 다리를 꼬거나 모으는 동작 어려움, 고관절 치환술의 대표적 의인성 손상신경 중 하나</t>
        </is>
      </c>
      <c r="M9" s="18" t="n"/>
    </row>
  </sheetData>
  <autoFilter ref="A2:M8"/>
  <mergeCells count="1">
    <mergeCell ref="A1:M1"/>
  </mergeCells>
  <dataValidations count="1">
    <dataValidation sqref="A3:A9" showDropDown="0" showInputMessage="0" showErrorMessage="0" allowBlank="1" type="list">
      <formula1>"☐,☑"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F9E79F"/>
    <outlinePr summaryBelow="1" summaryRight="1"/>
    <pageSetUpPr/>
  </sheetPr>
  <dimension ref="A1:M1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20" customWidth="1" min="2" max="2"/>
    <col width="22" customWidth="1" min="3" max="3"/>
    <col width="32" customWidth="1" min="4" max="4"/>
    <col width="30" customWidth="1" min="5" max="5"/>
    <col width="36" customWidth="1" min="6" max="6"/>
    <col width="32" customWidth="1" min="7" max="7"/>
    <col width="28" customWidth="1" min="8" max="8"/>
    <col width="22" customWidth="1" min="9" max="9"/>
    <col width="30" customWidth="1" min="10" max="10"/>
    <col width="22" customWidth="1" min="11" max="11"/>
    <col width="40" customWidth="1" min="12" max="12"/>
    <col width="18" customWidth="1" min="13" max="13"/>
  </cols>
  <sheetData>
    <row r="1" ht="30" customHeight="1">
      <c r="A1" s="1" t="inlineStr">
        <is>
          <t>엉치신경얼기 (Sacral Plexus, L4-S4)  —  신경 학습 체크리스트  (총 13개)</t>
        </is>
      </c>
    </row>
    <row r="2" ht="24" customHeight="1">
      <c r="A2" s="9" t="inlineStr">
        <is>
          <t>체크</t>
        </is>
      </c>
      <c r="B2" s="9" t="inlineStr">
        <is>
          <t>그룹</t>
        </is>
      </c>
      <c r="C2" s="9" t="inlineStr">
        <is>
          <t>신경명(한글)</t>
        </is>
      </c>
      <c r="D2" s="9" t="inlineStr">
        <is>
          <t>신경명(영문)</t>
        </is>
      </c>
      <c r="E2" s="9" t="inlineStr">
        <is>
          <t>기시(신경뿌리/분절)</t>
        </is>
      </c>
      <c r="F2" s="9" t="inlineStr">
        <is>
          <t>주행경로</t>
        </is>
      </c>
      <c r="G2" s="9" t="inlineStr">
        <is>
          <t>운동지배(지배근육)</t>
        </is>
      </c>
      <c r="H2" s="9" t="inlineStr">
        <is>
          <t>감각지배(피부분포)</t>
        </is>
      </c>
      <c r="I2" s="9" t="inlineStr">
        <is>
          <t>반사</t>
        </is>
      </c>
      <c r="J2" s="9" t="inlineStr">
        <is>
          <t>포착·손상호발부위</t>
        </is>
      </c>
      <c r="K2" s="9" t="inlineStr">
        <is>
          <t>촉진 포인트</t>
        </is>
      </c>
      <c r="L2" s="9" t="inlineStr">
        <is>
          <t>임상 포인트</t>
        </is>
      </c>
      <c r="M2" s="9" t="inlineStr">
        <is>
          <t>메모</t>
        </is>
      </c>
    </row>
    <row r="3" ht="27.75" customHeight="1">
      <c r="A3" s="16" t="inlineStr">
        <is>
          <t>☐</t>
        </is>
      </c>
      <c r="B3" s="17" t="inlineStr">
        <is>
          <t>엉치신경얼기</t>
        </is>
      </c>
      <c r="C3" s="19" t="inlineStr">
        <is>
          <t>위볼기신경</t>
        </is>
      </c>
      <c r="D3" s="18" t="inlineStr">
        <is>
          <t>Superior gluteal nerve</t>
        </is>
      </c>
      <c r="E3" s="18" t="inlineStr">
        <is>
          <t>L4-S1</t>
        </is>
      </c>
      <c r="F3" s="19" t="inlineStr">
        <is>
          <t>큰궁둥구멍(궁둥구멍근 위구멍)을 지나 볼기부위 중간층으로(중간볼기근·작은볼기근 사이)</t>
        </is>
      </c>
      <c r="G3" s="19" t="inlineStr">
        <is>
          <t>중간볼기근, 작은볼기근, 넙다리근막긴장근</t>
        </is>
      </c>
      <c r="H3" s="19" t="inlineStr">
        <is>
          <t>없음</t>
        </is>
      </c>
      <c r="I3" s="19" t="inlineStr">
        <is>
          <t>없음</t>
        </is>
      </c>
      <c r="J3" s="19" t="inlineStr">
        <is>
          <t>볼기부위 근육주사(잘못된 위치), 인공고관절수술 시 손상 위험</t>
        </is>
      </c>
      <c r="K3" s="19" t="inlineStr">
        <is>
          <t>해당없음</t>
        </is>
      </c>
      <c r="L3" s="19" t="inlineStr">
        <is>
          <t>손상 시 Trendelenburg 보행(반대쪽 골반이 처짐 - 중간볼기근 약화로 골반안정 실패)</t>
        </is>
      </c>
      <c r="M3" s="18" t="n"/>
    </row>
    <row r="4" ht="27.75" customHeight="1">
      <c r="A4" s="16" t="inlineStr">
        <is>
          <t>☐</t>
        </is>
      </c>
      <c r="B4" s="17" t="inlineStr">
        <is>
          <t>엉치신경얼기</t>
        </is>
      </c>
      <c r="C4" s="19" t="inlineStr">
        <is>
          <t>아래볼기신경</t>
        </is>
      </c>
      <c r="D4" s="18" t="inlineStr">
        <is>
          <t>Inferior gluteal nerve</t>
        </is>
      </c>
      <c r="E4" s="18" t="inlineStr">
        <is>
          <t>L5-S2</t>
        </is>
      </c>
      <c r="F4" s="19" t="inlineStr">
        <is>
          <t>큰궁둥구멍(궁둥구멍근 아래구멍)을 지나 큰볼기근 깊은면으로</t>
        </is>
      </c>
      <c r="G4" s="19" t="inlineStr">
        <is>
          <t>큰볼기근</t>
        </is>
      </c>
      <c r="H4" s="19" t="inlineStr">
        <is>
          <t>없음</t>
        </is>
      </c>
      <c r="I4" s="19" t="inlineStr">
        <is>
          <t>없음</t>
        </is>
      </c>
      <c r="J4" s="19" t="inlineStr">
        <is>
          <t>볼기부위 깊은 자상·수술 시 손상 위험</t>
        </is>
      </c>
      <c r="K4" s="19" t="inlineStr">
        <is>
          <t>해당없음</t>
        </is>
      </c>
      <c r="L4" s="19" t="inlineStr">
        <is>
          <t>손상 시 엉덩관절 폄력 약화 - 계단오르기·앉았다 일어서기 곤란(걷기 자체는 대개 유지)</t>
        </is>
      </c>
      <c r="M4" s="18" t="n"/>
    </row>
    <row r="5" ht="37.5" customHeight="1">
      <c r="A5" s="16" t="inlineStr">
        <is>
          <t>☐</t>
        </is>
      </c>
      <c r="B5" s="17" t="inlineStr">
        <is>
          <t>엉치신경얼기(깊은가지)</t>
        </is>
      </c>
      <c r="C5" s="19" t="inlineStr">
        <is>
          <t>궁둥구멍근신경</t>
        </is>
      </c>
      <c r="D5" s="18" t="inlineStr">
        <is>
          <t>Nerve to piriformis</t>
        </is>
      </c>
      <c r="E5" s="18" t="inlineStr">
        <is>
          <t>S1-S2</t>
        </is>
      </c>
      <c r="F5" s="19" t="inlineStr">
        <is>
          <t>궁둥구멍근 앞면으로 짧게 직접 주행</t>
        </is>
      </c>
      <c r="G5" s="19" t="inlineStr">
        <is>
          <t>궁둥구멍근</t>
        </is>
      </c>
      <c r="H5" s="19" t="inlineStr">
        <is>
          <t>없음</t>
        </is>
      </c>
      <c r="I5" s="19" t="inlineStr">
        <is>
          <t>없음</t>
        </is>
      </c>
      <c r="J5" s="19" t="inlineStr">
        <is>
          <t>골반 내 종양·수술 시 손상(드묾)</t>
        </is>
      </c>
      <c r="K5" s="19" t="inlineStr">
        <is>
          <t>해당없음</t>
        </is>
      </c>
      <c r="L5" s="19" t="inlineStr">
        <is>
          <t>궁둥구멍근증후군은 이 신경의 병변이 아니라 근육이 궁둥신경을 압박해 생기는 것 — 혼동 주의</t>
        </is>
      </c>
      <c r="M5" s="18" t="n"/>
    </row>
    <row r="6" ht="37.5" customHeight="1">
      <c r="A6" s="16" t="inlineStr">
        <is>
          <t>☐</t>
        </is>
      </c>
      <c r="B6" s="17" t="inlineStr">
        <is>
          <t>엉치신경얼기(깊은가지)</t>
        </is>
      </c>
      <c r="C6" s="19" t="inlineStr">
        <is>
          <t>속폐쇄근신경</t>
        </is>
      </c>
      <c r="D6" s="18" t="inlineStr">
        <is>
          <t>Nerve to obturator internus</t>
        </is>
      </c>
      <c r="E6" s="18" t="inlineStr">
        <is>
          <t>L5-S2</t>
        </is>
      </c>
      <c r="F6" s="19" t="inlineStr">
        <is>
          <t>큰궁둥구멍(궁둥구멍근 아래구멍)을 나와 궁둥뼈가시를 돌아 작은궁둥구멍으로 재진입</t>
        </is>
      </c>
      <c r="G6" s="19" t="inlineStr">
        <is>
          <t>속폐쇄근, 위쌍둥이근</t>
        </is>
      </c>
      <c r="H6" s="19" t="inlineStr">
        <is>
          <t>없음</t>
        </is>
      </c>
      <c r="I6" s="19" t="inlineStr">
        <is>
          <t>없음</t>
        </is>
      </c>
      <c r="J6" s="19" t="inlineStr">
        <is>
          <t>골반수술·궁둥가시 부근 시술 시 손상</t>
        </is>
      </c>
      <c r="K6" s="19" t="inlineStr">
        <is>
          <t>해당없음</t>
        </is>
      </c>
      <c r="L6" s="19" t="inlineStr">
        <is>
          <t>속음부신경·음부신경과 같이 궁둥가시를 돌아 나가는 3구조 중 하나(음부신경차단 시 함께 마취됨)</t>
        </is>
      </c>
      <c r="M6" s="18" t="n"/>
    </row>
    <row r="7" ht="37.5" customHeight="1">
      <c r="A7" s="16" t="inlineStr">
        <is>
          <t>☐</t>
        </is>
      </c>
      <c r="B7" s="17" t="inlineStr">
        <is>
          <t>엉치신경얼기(깊은가지)</t>
        </is>
      </c>
      <c r="C7" s="19" t="inlineStr">
        <is>
          <t>넙다리네모근신경</t>
        </is>
      </c>
      <c r="D7" s="18" t="inlineStr">
        <is>
          <t>Nerve to quadratus femoris</t>
        </is>
      </c>
      <c r="E7" s="18" t="inlineStr">
        <is>
          <t>L4-S1</t>
        </is>
      </c>
      <c r="F7" s="19" t="inlineStr">
        <is>
          <t>궁둥신경 깊은면을 따라 내려가 넙다리네모근 앞면으로</t>
        </is>
      </c>
      <c r="G7" s="19" t="inlineStr">
        <is>
          <t>넙다리네모근, 아래쌍둥이근</t>
        </is>
      </c>
      <c r="H7" s="19" t="inlineStr">
        <is>
          <t>엉덩관절 뒤쪽 관절가지(감각)</t>
        </is>
      </c>
      <c r="I7" s="19" t="inlineStr">
        <is>
          <t>없음</t>
        </is>
      </c>
      <c r="J7" s="19" t="inlineStr">
        <is>
          <t>인공고관절 후방접근술 시 손상</t>
        </is>
      </c>
      <c r="K7" s="19" t="inlineStr">
        <is>
          <t>해당없음</t>
        </is>
      </c>
      <c r="L7" s="19" t="inlineStr">
        <is>
          <t>엉덩관절에 감각가지를 내는 신경 — 고관절 병변의 연관통 경로 중 하나</t>
        </is>
      </c>
      <c r="M7" s="18" t="n"/>
    </row>
    <row r="8" ht="27.75" customHeight="1">
      <c r="A8" s="16" t="inlineStr">
        <is>
          <t>☐</t>
        </is>
      </c>
      <c r="B8" s="17" t="inlineStr">
        <is>
          <t>엉치신경얼기(인체 최대 신경)</t>
        </is>
      </c>
      <c r="C8" s="19" t="inlineStr">
        <is>
          <t>궁둥신경(좌골신경)</t>
        </is>
      </c>
      <c r="D8" s="18" t="inlineStr">
        <is>
          <t>Sciatic nerve</t>
        </is>
      </c>
      <c r="E8" s="18" t="inlineStr">
        <is>
          <t>L4-S3</t>
        </is>
      </c>
      <c r="F8" s="19" t="inlineStr">
        <is>
          <t>대개 궁둥구멍근 아래구멍을 통해 골반을 나와 볼기근 심부, 넙다리 뒤쪽을 따라 내려가 오금 위쪽에서 정강신경·온종아리신경으로 분지</t>
        </is>
      </c>
      <c r="G8" s="19" t="inlineStr">
        <is>
          <t>뒤넙다리근육 전체(반힘줄모양근, 반막모양근, 넙다리두갈래근), 큰모음근 일부 - 이후 정강/온종아리신경 성분을 통해 다리 아래 전체 근육</t>
        </is>
      </c>
      <c r="H8" s="19" t="inlineStr">
        <is>
          <t>직접 피부분포 없음 (가지들을 통해 다리 아래 대부분)</t>
        </is>
      </c>
      <c r="I8" s="19" t="inlineStr">
        <is>
          <t>발목반사(정강신경 통해, S1-S2)</t>
        </is>
      </c>
      <c r="J8" s="19" t="inlineStr">
        <is>
          <t>궁둥구멍근증후군(이상근증후군)(궁둥신경이 이상근을 뚫거나 눌리는 해부학적 변이), 볼기 근육주사 오류, 고관절 후방탈구</t>
        </is>
      </c>
      <c r="K8" s="19" t="inlineStr">
        <is>
          <t>궁둥뼈결절과 큰돌기 사이 중점 부근(깊게 촉진)</t>
        </is>
      </c>
      <c r="L8" s="19" t="inlineStr">
        <is>
          <t>인체에서 가장 굵고 긴 신경 - 손상 시 무릎 아래 전체 운동·감각 마비, 볼기근육주사는 반드시 가쪽위구역에 시행</t>
        </is>
      </c>
      <c r="M8" s="18" t="n"/>
    </row>
    <row r="9" ht="37.5" customHeight="1">
      <c r="A9" s="16" t="inlineStr">
        <is>
          <t>☐</t>
        </is>
      </c>
      <c r="B9" s="17" t="inlineStr">
        <is>
          <t>엉치신경얼기(궁둥신경 가지)</t>
        </is>
      </c>
      <c r="C9" s="19" t="inlineStr">
        <is>
          <t>정강신경</t>
        </is>
      </c>
      <c r="D9" s="18" t="inlineStr">
        <is>
          <t>Tibial nerve</t>
        </is>
      </c>
      <c r="E9" s="18" t="inlineStr">
        <is>
          <t>L4-S3 (궁둥신경 안쪽분지, 오금 위쪽에서 분리)</t>
        </is>
      </c>
      <c r="F9" s="19" t="inlineStr">
        <is>
          <t>오금을 지나 다리 뒤칸 깊은층(가자미근 아래)을 따라 내려가 안쪽복사 뒤(정강신경관)를 지나 발바닥으로</t>
        </is>
      </c>
      <c r="G9" s="19" t="inlineStr">
        <is>
          <t>다리 뒤칸 전체(장딴지근, 가자미근, 뒤정강근, 긴발가락굽힘근 등), 발바닥 내재근 대부분</t>
        </is>
      </c>
      <c r="H9" s="19" t="inlineStr">
        <is>
          <t>발바닥 전체, 장딴지 뒤면 일부(장딴지신경 기여)</t>
        </is>
      </c>
      <c r="I9" s="19" t="inlineStr">
        <is>
          <t>발목반사(achilles reflex, S1-S2)</t>
        </is>
      </c>
      <c r="J9" s="19" t="inlineStr">
        <is>
          <t>발목굴증후군(tarsal tunnel syndrome, 안쪽복사 뒤), 오금부위 종괴 압박</t>
        </is>
      </c>
      <c r="K9" s="19" t="inlineStr">
        <is>
          <t>오금 중앙(오금동맥과 인접, 가장 얕은층)</t>
        </is>
      </c>
      <c r="L9" s="19" t="inlineStr">
        <is>
          <t>발목반사(S1 평가)의 구심/원심 경로 - 손상 시 발바닥굽힘 약화·발바닥 감각소실(발꿈치로 걷기 어려움)</t>
        </is>
      </c>
      <c r="M9" s="18" t="n"/>
    </row>
    <row r="10" ht="27.75" customHeight="1">
      <c r="A10" s="16" t="inlineStr">
        <is>
          <t>☐</t>
        </is>
      </c>
      <c r="B10" s="17" t="inlineStr">
        <is>
          <t>엉치신경얼기(궁둥신경 가지)</t>
        </is>
      </c>
      <c r="C10" s="19" t="inlineStr">
        <is>
          <t>온종아리신경(총비골신경)</t>
        </is>
      </c>
      <c r="D10" s="18" t="inlineStr">
        <is>
          <t>Common fibular (peroneal) nerve</t>
        </is>
      </c>
      <c r="E10" s="18" t="inlineStr">
        <is>
          <t>L4-S2 (궁둥신경 가쪽분지, 오금 위쪽에서 분리)</t>
        </is>
      </c>
      <c r="F10" s="19" t="inlineStr">
        <is>
          <t>넙다리두갈래근 힘줄 안쪽을 따라 가쪽으로 주행하여 종아리뼈 목을 감아 돌아 앞·가쪽칸으로 진입(얕은·깊은종아리신경으로 분지)</t>
        </is>
      </c>
      <c r="G10" s="19" t="inlineStr">
        <is>
          <t>다리 앞칸(긴발가락폄근 등, 깊은종아리신경)과 가쪽칸(긴/짧은종아리근, 얕은종아리신경)</t>
        </is>
      </c>
      <c r="H10" s="19" t="inlineStr">
        <is>
          <t>정강 앞가쪽면, 발등(첫째-둘째 발가락 사이는 깊은종아리신경 단독)</t>
        </is>
      </c>
      <c r="I10" s="19" t="inlineStr">
        <is>
          <t>없음(단독 반사 없음)</t>
        </is>
      </c>
      <c r="J10" s="19" t="inlineStr">
        <is>
          <t>종아리뼈목(fibular neck) - 하지에서 가장 흔한 포착·압박신경병증 부위(다리 꼬기, 깁스 압박, 무릎수술)</t>
        </is>
      </c>
      <c r="K10" s="19" t="inlineStr">
        <is>
          <t>종아리뼈머리 바로 뒤아래</t>
        </is>
      </c>
      <c r="L10" s="19" t="inlineStr">
        <is>
          <t>발처짐(foot drop)의 가장 흔한 원인신경 - 종아리뼈목 골절·압박에 매우 취약(표재성 주행)</t>
        </is>
      </c>
      <c r="M10" s="18" t="n"/>
    </row>
    <row r="11" ht="27.75" customHeight="1">
      <c r="A11" s="16" t="inlineStr">
        <is>
          <t>☐</t>
        </is>
      </c>
      <c r="B11" s="17" t="inlineStr">
        <is>
          <t>엉치신경얼기(온종아리신경 가지)</t>
        </is>
      </c>
      <c r="C11" s="19" t="inlineStr">
        <is>
          <t>깊은종아리신경</t>
        </is>
      </c>
      <c r="D11" s="18" t="inlineStr">
        <is>
          <t>Deep fibular (peroneal) nerve</t>
        </is>
      </c>
      <c r="E11" s="18" t="inlineStr">
        <is>
          <t>L4-S1</t>
        </is>
      </c>
      <c r="F11" s="19" t="inlineStr">
        <is>
          <t>종아리뼈목에서 갈라져 앞칸으로 들어가 앞정강동맥과 나란히 내려가 발등으로</t>
        </is>
      </c>
      <c r="G11" s="19" t="inlineStr">
        <is>
          <t>다리 앞칸 전체(앞정강근, 긴발가락폄근, 긴엄지폄근, 셋째종아리근), 발등 짧은폄근</t>
        </is>
      </c>
      <c r="H11" s="19" t="inlineStr">
        <is>
          <t>첫째-둘째 발가락 사이 등쪽 물갈퀴(web space) — 단독 감각영역</t>
        </is>
      </c>
      <c r="I11" s="19" t="inlineStr">
        <is>
          <t>없음</t>
        </is>
      </c>
      <c r="J11" s="19" t="inlineStr">
        <is>
          <t>종아리뼈목, 앞발목굴증후군(폄근지지띠 아래)</t>
        </is>
      </c>
      <c r="K11" s="19" t="inlineStr">
        <is>
          <t>해당없음</t>
        </is>
      </c>
      <c r="L11" s="19" t="inlineStr">
        <is>
          <t>발처짐(foot drop)의 직접 원인신경 — 첫·둘째 발가락 사이 감각소실이 특징적 소견</t>
        </is>
      </c>
      <c r="M11" s="18" t="n"/>
    </row>
    <row r="12" ht="27.75" customHeight="1">
      <c r="A12" s="16" t="inlineStr">
        <is>
          <t>☐</t>
        </is>
      </c>
      <c r="B12" s="17" t="inlineStr">
        <is>
          <t>엉치신경얼기(온종아리신경 가지)</t>
        </is>
      </c>
      <c r="C12" s="19" t="inlineStr">
        <is>
          <t>얕은종아리신경</t>
        </is>
      </c>
      <c r="D12" s="18" t="inlineStr">
        <is>
          <t>Superficial fibular (peroneal) nerve</t>
        </is>
      </c>
      <c r="E12" s="18" t="inlineStr">
        <is>
          <t>L5-S1</t>
        </is>
      </c>
      <c r="F12" s="19" t="inlineStr">
        <is>
          <t>종아리뼈목에서 갈라져 가쪽칸을 따라 내려가 다리 먼쪽 1/3에서 깊은근막을 뚫고 표재화</t>
        </is>
      </c>
      <c r="G12" s="19" t="inlineStr">
        <is>
          <t>가쪽칸(긴종아리근, 짧은종아리근)</t>
        </is>
      </c>
      <c r="H12" s="19" t="inlineStr">
        <is>
          <t>정강 아래가쪽면, 발등 대부분(첫·둘째 발가락 사이 제외)</t>
        </is>
      </c>
      <c r="I12" s="19" t="inlineStr">
        <is>
          <t>없음</t>
        </is>
      </c>
      <c r="J12" s="19" t="inlineStr">
        <is>
          <t>다리 먼쪽 근막 관통부 포착, 발목염좌 시 견인손상</t>
        </is>
      </c>
      <c r="K12" s="19" t="inlineStr">
        <is>
          <t>해당없음</t>
        </is>
      </c>
      <c r="L12" s="19" t="inlineStr">
        <is>
          <t>가쪽번짐 약화 + 발등 감각저하 조합 — 깊은종아리신경 단독손상과 감각영역으로 감별</t>
        </is>
      </c>
      <c r="M12" s="18" t="n"/>
    </row>
    <row r="13" ht="27.75" customHeight="1">
      <c r="A13" s="16" t="inlineStr">
        <is>
          <t>☐</t>
        </is>
      </c>
      <c r="B13" s="17" t="inlineStr">
        <is>
          <t>엉치신경얼기(피부가지)</t>
        </is>
      </c>
      <c r="C13" s="19" t="inlineStr">
        <is>
          <t>장딴지신경(비복신경)</t>
        </is>
      </c>
      <c r="D13" s="18" t="inlineStr">
        <is>
          <t>Sural nerve</t>
        </is>
      </c>
      <c r="E13" s="18" t="inlineStr">
        <is>
          <t>정강신경(안쪽장딴지피부신경) + 온종아리신경(가쪽장딴지피부신경 교통가지) 합류</t>
        </is>
      </c>
      <c r="F13" s="19" t="inlineStr">
        <is>
          <t>장딴지 뒤면 정중선을 따라 내려가 아킬레스건 가쪽·가쪽복사 뒤를 지나 발 가쪽모서리로</t>
        </is>
      </c>
      <c r="G13" s="19" t="inlineStr">
        <is>
          <t>없음 (순수 감각신경)</t>
        </is>
      </c>
      <c r="H13" s="19" t="inlineStr">
        <is>
          <t>장딴지 아래뒤면, 가쪽복사, 발 가쪽모서리·새끼발가락</t>
        </is>
      </c>
      <c r="I13" s="19" t="inlineStr">
        <is>
          <t>없음</t>
        </is>
      </c>
      <c r="J13" s="19" t="inlineStr">
        <is>
          <t>가쪽복사 뒤 표재주행부 외상, 아킬레스건 수술 시 손상</t>
        </is>
      </c>
      <c r="K13" s="19" t="inlineStr">
        <is>
          <t>가쪽복사와 아킬레스건 사이(피부밑에서 촉지 가능)</t>
        </is>
      </c>
      <c r="L13" s="19" t="inlineStr">
        <is>
          <t>신경생검·신경이식의 표준 공여신경(순수 감각신경이라 채취해도 운동장애 없음) — 비복신경전도검사의 대상</t>
        </is>
      </c>
      <c r="M13" s="18" t="n"/>
    </row>
    <row r="14" ht="27.75" customHeight="1">
      <c r="A14" s="16" t="inlineStr">
        <is>
          <t>☐</t>
        </is>
      </c>
      <c r="B14" s="17" t="inlineStr">
        <is>
          <t>엉치신경얼기</t>
        </is>
      </c>
      <c r="C14" s="19" t="inlineStr">
        <is>
          <t>뒤넙다리피부신경</t>
        </is>
      </c>
      <c r="D14" s="18" t="inlineStr">
        <is>
          <t>Posterior femoral cutaneous nerve</t>
        </is>
      </c>
      <c r="E14" s="18" t="inlineStr">
        <is>
          <t>S1-S3</t>
        </is>
      </c>
      <c r="F14" s="19" t="inlineStr">
        <is>
          <t>궁둥구멍근 아래구멍을 지나 궁둥신경과 나란히 넙다리 뒤쪽 피부밑으로 내려감</t>
        </is>
      </c>
      <c r="G14" s="19" t="inlineStr">
        <is>
          <t>없음 (순수 감각신경)</t>
        </is>
      </c>
      <c r="H14" s="19" t="inlineStr">
        <is>
          <t>넙다리 뒤면, 볼기 아래주름 피부</t>
        </is>
      </c>
      <c r="I14" s="19" t="inlineStr">
        <is>
          <t>없음</t>
        </is>
      </c>
      <c r="J14" s="19" t="inlineStr">
        <is>
          <t>좌식 압박(장시간 앉기), 볼기부위 수술</t>
        </is>
      </c>
      <c r="K14" s="19" t="inlineStr">
        <is>
          <t>해당없음</t>
        </is>
      </c>
      <c r="L14" s="19" t="inlineStr">
        <is>
          <t>궁둥신경과 감별해야 하는 순수감각신경 - 운동장애 없이 넙다리 뒤쪽 저림만 있다면 이 신경 병변 의심</t>
        </is>
      </c>
      <c r="M14" s="18" t="n"/>
    </row>
    <row r="15" ht="27.75" customHeight="1">
      <c r="A15" s="16" t="inlineStr">
        <is>
          <t>☐</t>
        </is>
      </c>
      <c r="B15" s="17" t="inlineStr">
        <is>
          <t>엉치신경얼기</t>
        </is>
      </c>
      <c r="C15" s="19" t="inlineStr">
        <is>
          <t>음부신경</t>
        </is>
      </c>
      <c r="D15" s="18" t="inlineStr">
        <is>
          <t>Pudendal nerve</t>
        </is>
      </c>
      <c r="E15" s="18" t="inlineStr">
        <is>
          <t>S2-S4 ("S2,3,4 keeps the pelvic organs off the floor")</t>
        </is>
      </c>
      <c r="F15" s="19" t="inlineStr">
        <is>
          <t>궁둥구멍근 아래구멍을 나왔다가 궁둥가시를 돌아(엉치가시인대 뒤) 작은궁둥구멍을 통해 음부관(Alcock관)으로 재진입</t>
        </is>
      </c>
      <c r="G15" s="19" t="inlineStr">
        <is>
          <t>골반바닥근(항문올림근 일부), 요도·항문의 가로무늬 조임근(수의조절), 회음근육</t>
        </is>
      </c>
      <c r="H15" s="19" t="inlineStr">
        <is>
          <t>외생식기, 항문 주위 피부</t>
        </is>
      </c>
      <c r="I15" s="19" t="inlineStr">
        <is>
          <t>구불신경반사(bulbocavernosus reflex, S2-S4)</t>
        </is>
      </c>
      <c r="J15" s="19" t="inlineStr">
        <is>
          <t>음부신경통(장시간 자전거타기), 분만 시 신경손상, 음부관 포착</t>
        </is>
      </c>
      <c r="K15" s="19" t="inlineStr">
        <is>
          <t>궁둥가시(질/직장 검진 시 촉지 기준점, 음부신경차단 시술의 랜드마크)</t>
        </is>
      </c>
      <c r="L15" s="19" t="inlineStr">
        <is>
          <t>요실금·변실금과 관련된 핵심신경(가로무늬조임근 수의조절) - 분만 시 음부신경차단의 해부학적 기준점(궁둥가시)</t>
        </is>
      </c>
      <c r="M15" s="18" t="n"/>
    </row>
  </sheetData>
  <autoFilter ref="A2:M9"/>
  <mergeCells count="1">
    <mergeCell ref="A1:M1"/>
  </mergeCells>
  <dataValidations count="1">
    <dataValidation sqref="A3:A15" showDropDown="0" showInputMessage="0" showErrorMessage="0" allowBlank="1" type="list">
      <formula1>"☐,☑"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2026-07-21T05:50:22Z</dcterms:created>
  <dcterms:modified xsi:type="dcterms:W3CDTF">2026-09-14T22:42:16Z</dcterms:modified>
  <cp:lastModifiedBy>이재환</cp:lastModifiedBy>
  <cp:revision>0</cp:revision>
</cp:coreProperties>
</file>