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0" yWindow="1590" windowWidth="19575" windowHeight="13245" tabRatio="500" firstSheet="0" activeTab="0" autoFilterDateGrouping="1"/>
  </bookViews>
  <sheets>
    <sheet name="00_대시보드" sheetId="1" state="visible" r:id="rId1"/>
    <sheet name="01_심장동맥" sheetId="2" state="visible" r:id="rId2"/>
    <sheet name="02_대동맥_목_머리동맥계" sheetId="3" state="visible" r:id="rId3"/>
    <sheet name="03_상지동맥계" sheetId="4" state="visible" r:id="rId4"/>
    <sheet name="04_가슴동맥계" sheetId="5" state="visible" r:id="rId5"/>
    <sheet name="05_배동맥계" sheetId="6" state="visible" r:id="rId6"/>
    <sheet name="06_골반_샅동맥계" sheetId="7" state="visible" r:id="rId7"/>
    <sheet name="07_하지동맥계" sheetId="8" state="visible" r:id="rId8"/>
  </sheets>
  <definedNames>
    <definedName name="_xlnm._FilterDatabase" localSheetId="0" hidden="1">'00_대시보드'!$A$2:$E$9</definedName>
    <definedName name="_xlnm._FilterDatabase" localSheetId="1" hidden="1">'01_심장동맥'!$A$2:$M$6</definedName>
    <definedName name="_xlnm._FilterDatabase" localSheetId="2" hidden="1">'02_대동맥_목_머리동맥계'!$A$2:$M$14</definedName>
    <definedName name="_xlnm._FilterDatabase" localSheetId="3" hidden="1">'03_상지동맥계'!$A$2:$M$10</definedName>
    <definedName name="_xlnm._FilterDatabase" localSheetId="4" hidden="1">'04_가슴동맥계'!$A$2:$M$7</definedName>
    <definedName name="_xlnm._FilterDatabase" localSheetId="5" hidden="1">'05_배동맥계'!$A$2:$M$13</definedName>
    <definedName name="_xlnm._FilterDatabase" localSheetId="6" hidden="1">'06_골반_샅동맥계'!$A$2:$M$9</definedName>
    <definedName name="_xlnm._FilterDatabase" localSheetId="7" hidden="1">'07_하지동맥계'!$A$2:$M$10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8"/>
    </font>
    <font>
      <name val="Noto Sans CJK SC"/>
      <family val="2"/>
      <b val="1"/>
      <color rgb="FFFFFFFF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Noto Sans CJK SC"/>
      <family val="2"/>
      <b val="1"/>
      <sz val="11"/>
    </font>
    <font>
      <name val="맑은 고딕"/>
      <charset val="129"/>
      <family val="3"/>
      <b val="1"/>
      <sz val="11"/>
    </font>
    <font>
      <name val="Noto Sans CJK SC"/>
      <family val="2"/>
      <i val="1"/>
      <color rgb="FF444444"/>
      <sz val="10"/>
    </font>
    <font>
      <name val="맑은 고딕"/>
      <charset val="129"/>
      <family val="3"/>
      <i val="1"/>
      <color rgb="FF444444"/>
      <sz val="10"/>
    </font>
    <font>
      <name val="Noto Sans CJK SC"/>
      <family val="2"/>
      <b val="1"/>
      <color rgb="FFFFFFFF"/>
      <sz val="16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922B21"/>
      <sz val="13"/>
    </font>
    <font>
      <name val="Noto Sans CJK SC"/>
      <family val="2"/>
      <b val="1"/>
      <color rgb="FF7B241C"/>
      <sz val="10"/>
    </font>
    <font>
      <name val="Noto Sans CJK SC"/>
      <family val="2"/>
      <sz val="10"/>
    </font>
    <font>
      <name val="맑은 고딕"/>
      <charset val="129"/>
      <family val="3"/>
      <b val="1"/>
      <color rgb="FF7B241C"/>
      <sz val="10"/>
    </font>
    <font>
      <name val="돋움"/>
      <charset val="129"/>
      <family val="3"/>
      <sz val="8"/>
    </font>
  </fonts>
  <fills count="11">
    <fill>
      <patternFill/>
    </fill>
    <fill>
      <patternFill patternType="gray125"/>
    </fill>
    <fill>
      <patternFill patternType="solid">
        <fgColor rgb="FF641E16"/>
        <bgColor rgb="FF7B241C"/>
      </patternFill>
    </fill>
    <fill>
      <patternFill patternType="solid">
        <fgColor rgb="FFF2E3E1"/>
        <bgColor rgb="FFFFFFFF"/>
      </patternFill>
    </fill>
    <fill>
      <patternFill patternType="solid">
        <fgColor rgb="FF922B21"/>
        <bgColor rgb="FF7B241C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CD6155"/>
      </patternFill>
    </fill>
    <fill>
      <patternFill patternType="solid">
        <fgColor rgb="FFCD6155"/>
        <bgColor rgb="FFEC7063"/>
      </patternFill>
    </fill>
    <fill>
      <patternFill patternType="solid">
        <fgColor rgb="FFEC7063"/>
        <bgColor rgb="FFCD6155"/>
      </patternFill>
    </fill>
    <fill>
      <patternFill patternType="solid">
        <fgColor rgb="FFD98880"/>
        <bgColor rgb="FFEC7063"/>
      </patternFill>
    </fill>
    <fill>
      <patternFill patternType="solid">
        <fgColor rgb="FFF5B7B1"/>
        <bgColor rgb="FFC9C9C9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10" fillId="9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E16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C0392B"/>
      <rgbColor rgb="FFF2E3E1"/>
      <rgbColor rgb="FFCCFFFF"/>
      <rgbColor rgb="FF660066"/>
      <rgbColor rgb="FFEC7063"/>
      <rgbColor rgb="FF0066CC"/>
      <rgbColor rgb="FFCCCCFF"/>
      <rgbColor rgb="FF000080"/>
      <rgbColor rgb="FFFF00FF"/>
      <rgbColor rgb="FFFFFF00"/>
      <rgbColor rgb="FF00FFFF"/>
      <rgbColor rgb="FF800080"/>
      <rgbColor rgb="FF7B241C"/>
      <rgbColor rgb="FF008080"/>
      <rgbColor rgb="FF0000FF"/>
      <rgbColor rgb="FF00CCFF"/>
      <rgbColor rgb="FFCCFFFF"/>
      <rgbColor rgb="FFCCFFCC"/>
      <rgbColor rgb="FFFFFF99"/>
      <rgbColor rgb="FF99CCFF"/>
      <rgbColor rgb="FFD98880"/>
      <rgbColor rgb="FFCC99FF"/>
      <rgbColor rgb="FFF5B7B1"/>
      <rgbColor rgb="FF3366FF"/>
      <rgbColor rgb="FF33CCCC"/>
      <rgbColor rgb="FF99CC00"/>
      <rgbColor rgb="FFFFCC00"/>
      <rgbColor rgb="FFFF9900"/>
      <rgbColor rgb="FFE74C3C"/>
      <rgbColor rgb="FF666699"/>
      <rgbColor rgb="FF969696"/>
      <rgbColor rgb="FF003366"/>
      <rgbColor rgb="FF339966"/>
      <rgbColor rgb="FF003300"/>
      <rgbColor rgb="FF333300"/>
      <rgbColor rgb="FF922B21"/>
      <rgbColor rgb="FFCD6155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641E16"/>
    <outlinePr summaryBelow="1" summaryRight="1"/>
    <pageSetUpPr/>
  </sheetPr>
  <dimension ref="A1:E16"/>
  <sheetViews>
    <sheetView tabSelected="1" zoomScaleNormal="100" workbookViewId="0">
      <pane ySplit="2" topLeftCell="A3" activePane="bottomLeft" state="frozen"/>
      <selection pane="bottomLeft" activeCell="A1" sqref="A1:E1"/>
    </sheetView>
  </sheetViews>
  <sheetFormatPr baseColWidth="8" defaultColWidth="8.7109375" defaultRowHeight="15"/>
  <cols>
    <col width="30" customWidth="1" min="1" max="1"/>
    <col width="16" customWidth="1" min="2" max="2"/>
    <col width="14" customWidth="1" min="3" max="5"/>
  </cols>
  <sheetData>
    <row r="1" ht="33.75" customHeight="1">
      <c r="A1" s="9" t="inlineStr">
        <is>
          <t>동맥 학습 진행률 대시보드</t>
        </is>
      </c>
    </row>
    <row r="2" ht="21.75" customHeight="1">
      <c r="A2" s="10" t="inlineStr">
        <is>
          <t>계통</t>
        </is>
      </c>
      <c r="B2" s="10" t="inlineStr">
        <is>
          <t>전체 동맥 수</t>
        </is>
      </c>
      <c r="C2" s="10" t="inlineStr">
        <is>
          <t>체크 완료</t>
        </is>
      </c>
      <c r="D2" s="10" t="inlineStr">
        <is>
          <t>미완료</t>
        </is>
      </c>
      <c r="E2" s="10" t="inlineStr">
        <is>
          <t>진행률</t>
        </is>
      </c>
    </row>
    <row r="3">
      <c r="A3" s="11" t="inlineStr">
        <is>
          <t>심장동맥 · 폐동맥 (Coronary &amp; Pulmonary)</t>
        </is>
      </c>
      <c r="B3" s="12">
        <f>COUNTA('01_심장동맥'!A3:A9)</f>
        <v>7</v>
      </c>
      <c r="C3" s="12">
        <f>COUNTIF('01_심장동맥'!A3:A9,"☑")</f>
        <v>0</v>
      </c>
      <c r="D3" s="12">
        <f>B3-C3</f>
        <v>7</v>
      </c>
      <c r="E3" s="21">
        <f>IFERROR(C3/B3,0)</f>
        <v>0.0</v>
      </c>
    </row>
    <row r="4">
      <c r="A4" s="11" t="inlineStr">
        <is>
          <t>대동맥 · 목 · 머리 동맥계 (Aorta / Head &amp; Neck)</t>
        </is>
      </c>
      <c r="B4" s="12">
        <f>COUNTA('02_대동맥_목_머리동맥계'!A3:A15)</f>
        <v>13</v>
      </c>
      <c r="C4" s="12">
        <f>COUNTIF('02_대동맥_목_머리동맥계'!A3:A15,"☑")</f>
        <v>0</v>
      </c>
      <c r="D4" s="12">
        <f>B4-C4</f>
        <v>13</v>
      </c>
      <c r="E4" s="21">
        <f>IFERROR(C4/B4,0)</f>
        <v>0.0</v>
      </c>
    </row>
    <row r="5">
      <c r="A5" s="11" t="inlineStr">
        <is>
          <t>상지 동맥계 (Upper Limb)</t>
        </is>
      </c>
      <c r="B5" s="12">
        <f>COUNTA('03_상지동맥계'!A3:A11)</f>
        <v>9</v>
      </c>
      <c r="C5" s="12">
        <f>COUNTIF('03_상지동맥계'!A3:A11,"☑")</f>
        <v>0</v>
      </c>
      <c r="D5" s="12">
        <f>B5-C5</f>
        <v>9</v>
      </c>
      <c r="E5" s="21">
        <f>IFERROR(C5/B5,0)</f>
        <v>0.0</v>
      </c>
    </row>
    <row r="6">
      <c r="A6" s="11" t="inlineStr">
        <is>
          <t>가슴 동맥계 (Thorax)</t>
        </is>
      </c>
      <c r="B6" s="12">
        <f>COUNTA('04_가슴동맥계'!A3:A7)</f>
        <v>5</v>
      </c>
      <c r="C6" s="12">
        <f>COUNTIF('04_가슴동맥계'!A3:A7,"☑")</f>
        <v>0</v>
      </c>
      <c r="D6" s="12">
        <f>B6-C6</f>
        <v>5</v>
      </c>
      <c r="E6" s="21">
        <f>IFERROR(C6/B6,0)</f>
        <v>0.0</v>
      </c>
    </row>
    <row r="7">
      <c r="A7" s="11" t="inlineStr">
        <is>
          <t>배 동맥계 (Abdomen)</t>
        </is>
      </c>
      <c r="B7" s="12">
        <f>COUNTA('05_배동맥계'!A3:A13)</f>
        <v>11</v>
      </c>
      <c r="C7" s="12">
        <f>COUNTIF('05_배동맥계'!A3:A13,"☑")</f>
        <v>0</v>
      </c>
      <c r="D7" s="12">
        <f>B7-C7</f>
        <v>11</v>
      </c>
      <c r="E7" s="21">
        <f>IFERROR(C7/B7,0)</f>
        <v>0.0</v>
      </c>
    </row>
    <row r="8">
      <c r="A8" s="11" t="inlineStr">
        <is>
          <t>골반 · 샅 동맥계 (Pelvis &amp; Perineum)</t>
        </is>
      </c>
      <c r="B8" s="12">
        <f>COUNTA('06_골반_샅동맥계'!A3:A11)</f>
        <v>9</v>
      </c>
      <c r="C8" s="12">
        <f>COUNTIF('06_골반_샅동맥계'!A3:A11,"☑")</f>
        <v>0</v>
      </c>
      <c r="D8" s="12">
        <f>B8-C8</f>
        <v>9</v>
      </c>
      <c r="E8" s="21">
        <f>IFERROR(C8/B8,0)</f>
        <v>0.0</v>
      </c>
    </row>
    <row r="9">
      <c r="A9" s="11" t="inlineStr">
        <is>
          <t>하지 동맥계 (Lower Limb)</t>
        </is>
      </c>
      <c r="B9" s="12">
        <f>COUNTA('07_하지동맥계'!A3:A10)</f>
        <v>8</v>
      </c>
      <c r="C9" s="12">
        <f>COUNTIF('07_하지동맥계'!A3:A10,"☑")</f>
        <v>0</v>
      </c>
      <c r="D9" s="12">
        <f>B9-C9</f>
        <v>8</v>
      </c>
      <c r="E9" s="21">
        <f>IFERROR(C9/B9,0)</f>
        <v>0.0</v>
      </c>
    </row>
    <row r="10" ht="21.75" customHeight="1">
      <c r="A10" s="14" t="inlineStr">
        <is>
          <t>전체 합계</t>
        </is>
      </c>
      <c r="B10" s="15">
        <f>SUM(B3:B9)</f>
        <v>62</v>
      </c>
      <c r="C10" s="15">
        <f>SUM(C3:C9)</f>
        <v>0</v>
      </c>
      <c r="D10" s="15">
        <f>SUM(D3:D9)</f>
        <v>62</v>
      </c>
      <c r="E10" s="22">
        <f>IFERROR(C10/B10,0)</f>
        <v>0.0</v>
      </c>
    </row>
    <row r="11"/>
    <row r="12" ht="15" customHeight="1">
      <c r="A12" s="8" t="inlineStr">
        <is>
          <t>사용법
1) 각 계통 시트에서 '체크' 열 셀을 클릭하면 ☐ / ☑ 목록이 나타납니다. 학습을 마친 동맥은 ☑로 표시하세요.
2) 이 대시보드는 각 시트의 체크 현황을 자동 집계합니다(수식 기반, 새로고침 불필요).
3) 각 시트는 큰동맥(본줄기) -&gt; 가지 순서로 배치되어 있어, 위에서부터 순서대로 학습하면 분지 흐름이 자연스럽게 이어집니다.
4) 그림/이미지 매칭은 별도 프로젝트로 진행 예정이며, 이 파일은 내용(기시·주행경로·분지·문합·공급부위·촉진·임상) 학습용입니다.</t>
        </is>
      </c>
    </row>
    <row r="13"/>
    <row r="14"/>
    <row r="15"/>
    <row r="16"/>
  </sheetData>
  <autoFilter ref="A2:E9"/>
  <mergeCells count="2">
    <mergeCell ref="A1:E1"/>
    <mergeCell ref="A12:E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922B21"/>
    <outlinePr summaryBelow="1" summaryRight="1"/>
    <pageSetUpPr/>
  </sheetPr>
  <dimension ref="A1:M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7" t="inlineStr">
        <is>
          <t>심장동맥 · 폐동맥 (Coronary &amp; Pulmonary)  —  동맥 학습 체크리스트  (총 7개,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27.75" customHeight="1">
      <c r="A3" s="17" t="inlineStr">
        <is>
          <t>☐</t>
        </is>
      </c>
      <c r="B3" s="18" t="inlineStr">
        <is>
          <t>심장동맥</t>
        </is>
      </c>
      <c r="C3" s="19" t="inlineStr">
        <is>
          <t>오른심장동맥</t>
        </is>
      </c>
      <c r="D3" s="20" t="inlineStr">
        <is>
          <t>Right coronary artery (RCA)</t>
        </is>
      </c>
      <c r="E3" s="19" t="inlineStr">
        <is>
          <t>대동맥 오른쪽 대동맥동(Valsalva동)</t>
        </is>
      </c>
      <c r="F3" s="19" t="inlineStr">
        <is>
          <t>오른심방-심실고랑을 따라 주행 후 뒤쪽으로 돌아 뒤심실사이고랑에 도달</t>
        </is>
      </c>
      <c r="G3" s="19" t="inlineStr">
        <is>
          <t>굴심방결절가지, 방실결절가지, 오른모서리가지, 뒤심실사이가지(PDA, 대부분)</t>
        </is>
      </c>
      <c r="H3" s="19" t="inlineStr">
        <is>
          <t>왼심장동맥 휘돌이가지와 뒤쪽에서 문합, 앞심실사이가지와 심첨에서 문합</t>
        </is>
      </c>
      <c r="I3" s="19" t="inlineStr">
        <is>
          <t>오른심방, 오른심실, 굴심방결절·방실결절(대부분), 뒤중격 1/3</t>
        </is>
      </c>
      <c r="J3" s="19" t="inlineStr">
        <is>
          <t>작은심장정맥</t>
        </is>
      </c>
      <c r="K3" s="19" t="inlineStr">
        <is>
          <t>해당없음 (심장 표면 동맥, 체표 촉진 불가)</t>
        </is>
      </c>
      <c r="L3" s="19" t="inlineStr">
        <is>
          <t>폐쇄 시 하벽심근경색(inferior MI), 서맥·방실차단 유발(결절 허혈)</t>
        </is>
      </c>
      <c r="M3" s="20" t="n"/>
    </row>
    <row r="4" ht="27.75" customHeight="1">
      <c r="A4" s="17" t="inlineStr">
        <is>
          <t>☐</t>
        </is>
      </c>
      <c r="B4" s="18" t="inlineStr">
        <is>
          <t>심장동맥</t>
        </is>
      </c>
      <c r="C4" s="19" t="inlineStr">
        <is>
          <t>왼심장동맥(왼주간부)</t>
        </is>
      </c>
      <c r="D4" s="20" t="inlineStr">
        <is>
          <t>Left coronary artery (Left main)</t>
        </is>
      </c>
      <c r="E4" s="19" t="inlineStr">
        <is>
          <t>대동맥 왼쪽 대동맥동(Valsalva동)</t>
        </is>
      </c>
      <c r="F4" s="19" t="inlineStr">
        <is>
          <t>약 1~2cm 짧게 주행 후 앞심실사이가지·휘돌이가지로 분지</t>
        </is>
      </c>
      <c r="G4" s="19" t="inlineStr">
        <is>
          <t>앞심실사이가지(LAD), 휘돌이가지(Circumflex)</t>
        </is>
      </c>
      <c r="H4" s="19" t="inlineStr">
        <is>
          <t>각 분지를 통해 오른심장동맥과 문합</t>
        </is>
      </c>
      <c r="I4" s="19" t="inlineStr">
        <is>
          <t>왼심실 대부분, 심실사이막 앞2/3</t>
        </is>
      </c>
      <c r="J4" s="19" t="inlineStr">
        <is>
          <t>큰심장정맥</t>
        </is>
      </c>
      <c r="K4" s="19" t="inlineStr">
        <is>
          <t>해당없음</t>
        </is>
      </c>
      <c r="L4" s="20" t="inlineStr">
        <is>
          <t>"Widow maker" - 왼주간부 폐쇄 시 광범위 심근경색·급사 위험 높음</t>
        </is>
      </c>
      <c r="M4" s="20" t="n"/>
    </row>
    <row r="5" ht="27.75" customHeight="1">
      <c r="A5" s="17" t="inlineStr">
        <is>
          <t>☐</t>
        </is>
      </c>
      <c r="B5" s="18" t="inlineStr">
        <is>
          <t>심장동맥</t>
        </is>
      </c>
      <c r="C5" s="19" t="inlineStr">
        <is>
          <t>앞심실사이가지</t>
        </is>
      </c>
      <c r="D5" s="20" t="inlineStr">
        <is>
          <t>Anterior interventricular a. (LAD)</t>
        </is>
      </c>
      <c r="E5" s="19" t="inlineStr">
        <is>
          <t>왼심장동맥</t>
        </is>
      </c>
      <c r="F5" s="19" t="inlineStr">
        <is>
          <t>앞심실사이고랑을 따라 심첨으로 주행</t>
        </is>
      </c>
      <c r="G5" s="19" t="inlineStr">
        <is>
          <t>대각가지, 중격뚫음가지(septal perforators)</t>
        </is>
      </c>
      <c r="H5" s="19" t="inlineStr">
        <is>
          <t>심첨 부근에서 뒤심실사이가지와 문합</t>
        </is>
      </c>
      <c r="I5" s="19" t="inlineStr">
        <is>
          <t>왼심실 앞벽, 심실사이막 앞2/3, 다발갈래</t>
        </is>
      </c>
      <c r="J5" s="19" t="inlineStr">
        <is>
          <t>큰심장정맥</t>
        </is>
      </c>
      <c r="K5" s="19" t="inlineStr">
        <is>
          <t>해당없음</t>
        </is>
      </c>
      <c r="L5" s="19" t="inlineStr">
        <is>
          <t>가장 흔한 심근경색 호발혈관 - 앞벽 심근경색의 주범</t>
        </is>
      </c>
      <c r="M5" s="20" t="n"/>
    </row>
    <row r="6" ht="27.75" customHeight="1">
      <c r="A6" s="17" t="inlineStr">
        <is>
          <t>☐</t>
        </is>
      </c>
      <c r="B6" s="18" t="inlineStr">
        <is>
          <t>심장동맥</t>
        </is>
      </c>
      <c r="C6" s="19" t="inlineStr">
        <is>
          <t>휘돌이가지</t>
        </is>
      </c>
      <c r="D6" s="20" t="inlineStr">
        <is>
          <t>Circumflex branch</t>
        </is>
      </c>
      <c r="E6" s="19" t="inlineStr">
        <is>
          <t>왼심장동맥</t>
        </is>
      </c>
      <c r="F6" s="19" t="inlineStr">
        <is>
          <t>왼심방-심실고랑을 따라 왼쪽·뒤쪽으로 주행</t>
        </is>
      </c>
      <c r="G6" s="19" t="inlineStr">
        <is>
          <t>둔각가지(obtuse marginal branches)</t>
        </is>
      </c>
      <c r="H6" s="19" t="inlineStr">
        <is>
          <t>뒤쪽에서 오른심장동맥과 문합</t>
        </is>
      </c>
      <c r="I6" s="19" t="inlineStr">
        <is>
          <t>왼심방, 왼심실 가쪽벽·뒤벽</t>
        </is>
      </c>
      <c r="J6" s="19" t="inlineStr">
        <is>
          <t>왼심실뒤정맥</t>
        </is>
      </c>
      <c r="K6" s="19" t="inlineStr">
        <is>
          <t>해당없음</t>
        </is>
      </c>
      <c r="L6" s="19" t="inlineStr">
        <is>
          <t>폐쇄 시 가쪽·뒤벽 심근경색 - 심전도 변화가 미묘해 진단 지연 흔함</t>
        </is>
      </c>
      <c r="M6" s="20" t="n"/>
    </row>
    <row r="7" ht="27.75" customHeight="1">
      <c r="A7" s="17" t="inlineStr">
        <is>
          <t>☐</t>
        </is>
      </c>
      <c r="B7" s="18" t="inlineStr">
        <is>
          <t>폐순환</t>
        </is>
      </c>
      <c r="C7" s="19" t="inlineStr">
        <is>
          <t>허파동맥줄기(폐동맥간)</t>
        </is>
      </c>
      <c r="D7" s="20" t="inlineStr">
        <is>
          <t>Pulmonary trunk</t>
        </is>
      </c>
      <c r="E7" s="19" t="inlineStr">
        <is>
          <t>오른심실(허파동맥판막)</t>
        </is>
      </c>
      <c r="F7" s="19" t="inlineStr">
        <is>
          <t>대동맥 앞왼쪽으로 위로 주행하다 대동맥활 아래(T4-T5)에서 좌우 허파동맥으로 갈라짐</t>
        </is>
      </c>
      <c r="G7" s="19" t="inlineStr">
        <is>
          <t>오른허파동맥, 왼허파동맥</t>
        </is>
      </c>
      <c r="H7" s="19" t="inlineStr">
        <is>
          <t>동맥관인대(ligamentum arteriosum)로 대동맥활과 연결(태생기 동맥관 흔적)</t>
        </is>
      </c>
      <c r="I7" s="19" t="inlineStr">
        <is>
          <t>허파(가스교환용 탈산소혈 운반)</t>
        </is>
      </c>
      <c r="J7" s="19" t="inlineStr">
        <is>
          <t>허파동맥판막, 심장막(줄기 근위부를 감쌈)</t>
        </is>
      </c>
      <c r="K7" s="19" t="inlineStr">
        <is>
          <t>해당없음</t>
        </is>
      </c>
      <c r="L7" s="19" t="inlineStr">
        <is>
          <t>체순환과 반대로 탈산소혈이 흐르는 동맥 — 안장색전(saddle embolus)의 걸림부위, 폐동맥고혈압 평가 기준혈관</t>
        </is>
      </c>
      <c r="M7" s="20" t="n"/>
    </row>
    <row r="8" ht="27.75" customHeight="1">
      <c r="A8" s="17" t="inlineStr">
        <is>
          <t>☐</t>
        </is>
      </c>
      <c r="B8" s="18" t="inlineStr">
        <is>
          <t>폐순환</t>
        </is>
      </c>
      <c r="C8" s="19" t="inlineStr">
        <is>
          <t>오른허파동맥</t>
        </is>
      </c>
      <c r="D8" s="20" t="inlineStr">
        <is>
          <t>Right pulmonary artery</t>
        </is>
      </c>
      <c r="E8" s="19" t="inlineStr">
        <is>
          <t>허파동맥줄기</t>
        </is>
      </c>
      <c r="F8" s="19" t="inlineStr">
        <is>
          <t>오름대동맥·위대정맥 뒤를 가로질러 오른허파문으로 진입(왼쪽보다 길다)</t>
        </is>
      </c>
      <c r="G8" s="19" t="inlineStr">
        <is>
          <t>위엽·중간엽·아래엽동맥 → 각 구역(분절)동맥</t>
        </is>
      </c>
      <c r="H8" s="19" t="inlineStr">
        <is>
          <t>허파꽈리 모세혈관망에서 허파정맥으로 이행</t>
        </is>
      </c>
      <c r="I8" s="19" t="inlineStr">
        <is>
          <t>오른허파 전체</t>
        </is>
      </c>
      <c r="J8" s="19" t="inlineStr">
        <is>
          <t>오른주기관지(동맥이 기관지 앞아래), 허파정맥</t>
        </is>
      </c>
      <c r="K8" s="19" t="inlineStr">
        <is>
          <t>해당없음</t>
        </is>
      </c>
      <c r="L8" s="19" t="inlineStr">
        <is>
          <t>CT폐동맥조영(CTPA)에서 폐색전증 판독의 기준 혈관 — 오른쪽이 길어 색전 호발</t>
        </is>
      </c>
      <c r="M8" s="20" t="n"/>
    </row>
    <row r="9" ht="27.75" customHeight="1">
      <c r="A9" s="17" t="inlineStr">
        <is>
          <t>☐</t>
        </is>
      </c>
      <c r="B9" s="18" t="inlineStr">
        <is>
          <t>폐순환</t>
        </is>
      </c>
      <c r="C9" s="19" t="inlineStr">
        <is>
          <t>왼허파동맥</t>
        </is>
      </c>
      <c r="D9" s="20" t="inlineStr">
        <is>
          <t>Left pulmonary artery</t>
        </is>
      </c>
      <c r="E9" s="19" t="inlineStr">
        <is>
          <t>허파동맥줄기</t>
        </is>
      </c>
      <c r="F9" s="19" t="inlineStr">
        <is>
          <t>대동맥활 아래를 지나 왼허파문으로 짧게 진입, 왼주기관지 위를 넘어감</t>
        </is>
      </c>
      <c r="G9" s="19" t="inlineStr">
        <is>
          <t>위엽동맥(혀엽동맥 포함), 아래엽동맥 → 각 구역동맥</t>
        </is>
      </c>
      <c r="H9" s="19" t="inlineStr">
        <is>
          <t>허파꽈리 모세혈관망에서 허파정맥으로 이행</t>
        </is>
      </c>
      <c r="I9" s="19" t="inlineStr">
        <is>
          <t>왼허파 전체</t>
        </is>
      </c>
      <c r="J9" s="19" t="inlineStr">
        <is>
          <t>왼주기관지(동맥이 기관지 위), 동맥관인대·왼되돌이후두신경(근위부 인접)</t>
        </is>
      </c>
      <c r="K9" s="19" t="inlineStr">
        <is>
          <t>해당없음</t>
        </is>
      </c>
      <c r="L9" s="19" t="inlineStr">
        <is>
          <t>왼되돌이후두신경이 동맥관인대를 감아 도는 지점과 인접 — 폐동맥 확장 시 쉰목소리 유발 가능</t>
        </is>
      </c>
      <c r="M9" s="20" t="n"/>
    </row>
  </sheetData>
  <autoFilter ref="A2:M6"/>
  <mergeCells count="1">
    <mergeCell ref="A1:M1"/>
  </mergeCells>
  <dataValidations count="1">
    <dataValidation sqref="A3:A9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0392B"/>
    <outlinePr summaryBelow="1" summaryRight="1"/>
    <pageSetUpPr/>
  </sheetPr>
  <dimension ref="A1:M1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6" t="inlineStr">
        <is>
          <t>대동맥 · 목 · 머리 동맥계 (Aorta / Head &amp; Neck)  —  동맥 학습 체크리스트  (총 13개,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27.75" customHeight="1">
      <c r="A3" s="17" t="inlineStr">
        <is>
          <t>☐</t>
        </is>
      </c>
      <c r="B3" s="18" t="inlineStr">
        <is>
          <t>대동맥 본줄기</t>
        </is>
      </c>
      <c r="C3" s="19" t="inlineStr">
        <is>
          <t>오름대동맥</t>
        </is>
      </c>
      <c r="D3" s="20" t="inlineStr">
        <is>
          <t>Ascending aorta</t>
        </is>
      </c>
      <c r="E3" s="19" t="inlineStr">
        <is>
          <t>왼심실</t>
        </is>
      </c>
      <c r="F3" s="19" t="inlineStr">
        <is>
          <t>심장바닥에서 위로 짧게 주행 후 대동맥활로 이행</t>
        </is>
      </c>
      <c r="G3" s="19" t="inlineStr">
        <is>
          <t>오른심장동맥, 왼심장동맥</t>
        </is>
      </c>
      <c r="H3" s="19" t="inlineStr">
        <is>
          <t>대동맥활로 이행</t>
        </is>
      </c>
      <c r="I3" s="20" t="inlineStr">
        <is>
          <t>(분지를 통해) 심장</t>
        </is>
      </c>
      <c r="J3" s="19" t="inlineStr">
        <is>
          <t>없음 (심장막에 싸임)</t>
        </is>
      </c>
      <c r="K3" s="19" t="inlineStr">
        <is>
          <t>해당없음</t>
        </is>
      </c>
      <c r="L3" s="19" t="inlineStr">
        <is>
          <t>대동맥박리 호발부위(Stanford A형), 대동맥판막과 인접</t>
        </is>
      </c>
      <c r="M3" s="20" t="n"/>
    </row>
    <row r="4" ht="27.75" customHeight="1">
      <c r="A4" s="17" t="inlineStr">
        <is>
          <t>☐</t>
        </is>
      </c>
      <c r="B4" s="18" t="inlineStr">
        <is>
          <t>대동맥 본줄기</t>
        </is>
      </c>
      <c r="C4" s="19" t="inlineStr">
        <is>
          <t>대동맥활</t>
        </is>
      </c>
      <c r="D4" s="20" t="inlineStr">
        <is>
          <t>Aortic arch</t>
        </is>
      </c>
      <c r="E4" s="19" t="inlineStr">
        <is>
          <t>오름대동맥</t>
        </is>
      </c>
      <c r="F4" s="19" t="inlineStr">
        <is>
          <t>왼쪽으로 활 모양으로 휘어 넘어가며 기관·식도 앞을 지나 가슴대동맥(하행)으로 이행</t>
        </is>
      </c>
      <c r="G4" s="19" t="inlineStr">
        <is>
          <t>팔머리동맥, 왼온목동맥, 왼빗장밑동맥</t>
        </is>
      </c>
      <c r="H4" s="19" t="inlineStr">
        <is>
          <t>가슴대동맥(하행대동맥)</t>
        </is>
      </c>
      <c r="I4" s="20" t="inlineStr">
        <is>
          <t>(분지를 통해) 머리·목·양팔</t>
        </is>
      </c>
      <c r="J4" s="19" t="inlineStr">
        <is>
          <t>왼미주신경, 왼되돌이후두신경(활을 감아 돎)</t>
        </is>
      </c>
      <c r="K4" s="19" t="inlineStr">
        <is>
          <t>해당없음</t>
        </is>
      </c>
      <c r="L4" s="19" t="inlineStr">
        <is>
          <t>대동맥활 동맥류 시 왼되돌이후두신경 압박→쉰목소리(Ortner 증후군)</t>
        </is>
      </c>
      <c r="M4" s="20" t="n"/>
    </row>
    <row r="5" ht="27.75" customHeight="1">
      <c r="A5" s="17" t="inlineStr">
        <is>
          <t>☐</t>
        </is>
      </c>
      <c r="B5" s="18" t="inlineStr">
        <is>
          <t>목 동맥계</t>
        </is>
      </c>
      <c r="C5" s="19" t="inlineStr">
        <is>
          <t>팔머리동맥(무명동맥)</t>
        </is>
      </c>
      <c r="D5" s="20" t="inlineStr">
        <is>
          <t>Brachiocephalic trunk</t>
        </is>
      </c>
      <c r="E5" s="19" t="inlineStr">
        <is>
          <t>대동맥활</t>
        </is>
      </c>
      <c r="F5" s="19" t="inlineStr">
        <is>
          <t>오른쪽 위로 짧게 주행</t>
        </is>
      </c>
      <c r="G5" s="19" t="inlineStr">
        <is>
          <t>오른온목동맥, 오른빗장밑동맥</t>
        </is>
      </c>
      <c r="H5" s="19" t="inlineStr">
        <is>
          <t>각 분지로 이어짐</t>
        </is>
      </c>
      <c r="I5" s="20" t="inlineStr">
        <is>
          <t>(분지를 통해) 오른쪽 머리·목·팔</t>
        </is>
      </c>
      <c r="J5" s="19" t="inlineStr">
        <is>
          <t>없음</t>
        </is>
      </c>
      <c r="K5" s="19" t="inlineStr">
        <is>
          <t>해당없음</t>
        </is>
      </c>
      <c r="L5" s="19" t="inlineStr">
        <is>
          <t>대동맥활 3대 분지 중 유일하게 좌우 비대칭 (왼쪽은 온목동맥·빗장밑동맥이 대동맥활에서 직접 분지)</t>
        </is>
      </c>
      <c r="M5" s="20" t="n"/>
    </row>
    <row r="6" ht="27.75" customHeight="1">
      <c r="A6" s="17" t="inlineStr">
        <is>
          <t>☐</t>
        </is>
      </c>
      <c r="B6" s="18" t="inlineStr">
        <is>
          <t>목 동맥계</t>
        </is>
      </c>
      <c r="C6" s="19" t="inlineStr">
        <is>
          <t>온목동맥(총경동맥)</t>
        </is>
      </c>
      <c r="D6" s="20" t="inlineStr">
        <is>
          <t>Common carotid artery</t>
        </is>
      </c>
      <c r="E6" s="19" t="inlineStr">
        <is>
          <t>오른쪽=팔머리동맥 / 왼쪽=대동맥활</t>
        </is>
      </c>
      <c r="F6" s="19" t="inlineStr">
        <is>
          <t>목빗근 안쪽, 기관·식도 가쪽에서 위로 주행 (목동맥집 속)</t>
        </is>
      </c>
      <c r="G6" s="19" t="inlineStr">
        <is>
          <t>없음 (끝가지로 속목동맥·바깥목동맥으로 분지)</t>
        </is>
      </c>
      <c r="H6" s="19" t="inlineStr">
        <is>
          <t>갑상연골 위모서리 높이(C4)에서 속목동맥·바깥목동맥으로 분지</t>
        </is>
      </c>
      <c r="I6" s="20" t="inlineStr">
        <is>
          <t>(분지를 통해) 뇌, 얼굴, 머리덮개</t>
        </is>
      </c>
      <c r="J6" s="19" t="inlineStr">
        <is>
          <t>속목정맥, 미주신경 (목동맥집 안에서 나란히 주행)</t>
        </is>
      </c>
      <c r="K6" s="19" t="inlineStr">
        <is>
          <t>목빗근 앞모서리, 방패연골 높이 (경동맥맥박)</t>
        </is>
      </c>
      <c r="L6" s="19" t="inlineStr">
        <is>
          <t>목동맥팽대(carotid sinus, 분지부)에 압수용체 존재 - 죽상경화 호발부위(뇌졸중 원인)</t>
        </is>
      </c>
      <c r="M6" s="20" t="n"/>
    </row>
    <row r="7" ht="27.75" customHeight="1">
      <c r="A7" s="17" t="inlineStr">
        <is>
          <t>☐</t>
        </is>
      </c>
      <c r="B7" s="18" t="inlineStr">
        <is>
          <t>목 동맥계</t>
        </is>
      </c>
      <c r="C7" s="19" t="inlineStr">
        <is>
          <t>속목동맥(내경동맥)</t>
        </is>
      </c>
      <c r="D7" s="20" t="inlineStr">
        <is>
          <t>Internal carotid artery</t>
        </is>
      </c>
      <c r="E7" s="19" t="inlineStr">
        <is>
          <t>온목동맥</t>
        </is>
      </c>
      <c r="F7" s="19" t="inlineStr">
        <is>
          <t>목에서 가지 없이 올라가 관자뼈 목동맥관을 통해 두개내로 진입</t>
        </is>
      </c>
      <c r="G7" s="20" t="inlineStr">
        <is>
          <t>(두개내) 눈동맥, 앞대뇌동맥, 중간대뇌동맥, 뒤교통동맥</t>
        </is>
      </c>
      <c r="H7" s="19" t="inlineStr">
        <is>
          <t>대뇌동맥고리(Willis 고리)를 이루며 뇌바닥동맥과 문합</t>
        </is>
      </c>
      <c r="I7" s="19" t="inlineStr">
        <is>
          <t>뇌(대뇌 대부분), 눈</t>
        </is>
      </c>
      <c r="J7" s="19" t="inlineStr">
        <is>
          <t>없음 (목 부분은 가지 없이 단독 주행)</t>
        </is>
      </c>
      <c r="K7" s="19" t="inlineStr">
        <is>
          <t>해당없음 (깊이 주행, 직접 촉진 어려움)</t>
        </is>
      </c>
      <c r="L7" s="19" t="inlineStr">
        <is>
          <t>죽상경화반 호발부위(분지부) - 경동맥협착증의 주요 병터, 스텐트·내막절제술 대상</t>
        </is>
      </c>
      <c r="M7" s="20" t="n"/>
    </row>
    <row r="8" ht="37.5" customHeight="1">
      <c r="A8" s="17" t="inlineStr">
        <is>
          <t>☐</t>
        </is>
      </c>
      <c r="B8" s="18" t="inlineStr">
        <is>
          <t>머리 동맥계</t>
        </is>
      </c>
      <c r="C8" s="19" t="inlineStr">
        <is>
          <t>눈동맥(안동맥)</t>
        </is>
      </c>
      <c r="D8" s="20" t="inlineStr">
        <is>
          <t>Ophthalmic artery</t>
        </is>
      </c>
      <c r="E8" s="19" t="inlineStr">
        <is>
          <t>속목동맥 (해면정맥굴을 나온 직후 첫 가지)</t>
        </is>
      </c>
      <c r="F8" s="19" t="inlineStr">
        <is>
          <t>시각신경과 함께 시각신경관을 통해 눈확으로 진입, 시각신경 위를 가로질러 안쪽으로 주행</t>
        </is>
      </c>
      <c r="G8" s="19" t="inlineStr">
        <is>
          <t>중심망막동맥, 눈물샘동맥, 짧은·긴뒤섬모체동맥, 앞·뒤벌집동맥, 눈확위동맥, 도르래위동맥, 등쪽코동맥</t>
        </is>
      </c>
      <c r="H8" s="19" t="inlineStr">
        <is>
          <t>도르래위·등쪽코동맥이 얼굴동맥 가지와 눈안쪽모서리에서 문합(속목-바깥목동맥계 주요 연결로)</t>
        </is>
      </c>
      <c r="I8" s="19" t="inlineStr">
        <is>
          <t>망막, 눈알, 눈물샘, 눈꺼풀, 이마 앞부분</t>
        </is>
      </c>
      <c r="J8" s="19" t="inlineStr">
        <is>
          <t>시각신경(시각신경관을 함께 통과)</t>
        </is>
      </c>
      <c r="K8" s="19" t="inlineStr">
        <is>
          <t>해당없음</t>
        </is>
      </c>
      <c r="L8" s="19" t="inlineStr">
        <is>
          <t>중심망막동맥 폐쇄 시 급성 무통성 실명(안과 응급) — 일과성흑암시(amaurosis fugax)는 속목동맥 색전의 경고징후</t>
        </is>
      </c>
      <c r="M8" s="20" t="n"/>
    </row>
    <row r="9" ht="27.75" customHeight="1">
      <c r="A9" s="17" t="inlineStr">
        <is>
          <t>☐</t>
        </is>
      </c>
      <c r="B9" s="18" t="inlineStr">
        <is>
          <t>목 동맥계</t>
        </is>
      </c>
      <c r="C9" s="19" t="inlineStr">
        <is>
          <t>바깥목동맥(외경동맥)</t>
        </is>
      </c>
      <c r="D9" s="20" t="inlineStr">
        <is>
          <t>External carotid artery</t>
        </is>
      </c>
      <c r="E9" s="19" t="inlineStr">
        <is>
          <t>온목동맥</t>
        </is>
      </c>
      <c r="F9" s="19" t="inlineStr">
        <is>
          <t>목 앞·가쪽에서 위로 주행하며 다수 가지를 냄, 귀밑샘 속에서 위턱동맥·얕은관자동맥으로 끝분지</t>
        </is>
      </c>
      <c r="G9" s="19" t="inlineStr">
        <is>
          <t>위갑상샘동맥, 인두오름동맥, 혀동맥, 얼굴동맥, 뒤통수동맥, 뒤귀동맥, 위턱동맥, 얕은관자동맥</t>
        </is>
      </c>
      <c r="H9" s="19" t="inlineStr">
        <is>
          <t>위턱동맥·얕은관자동맥으로 끝분지, 반대쪽 가지들과 얼굴 정중선에서 문합</t>
        </is>
      </c>
      <c r="I9" s="19" t="inlineStr">
        <is>
          <t>얼굴, 머리덮개, 목의 대부분 구조 (뇌 제외)</t>
        </is>
      </c>
      <c r="J9" s="19" t="inlineStr">
        <is>
          <t>없음</t>
        </is>
      </c>
      <c r="K9" s="19" t="inlineStr">
        <is>
          <t>해당없음 (가지들에서 촉진)</t>
        </is>
      </c>
      <c r="L9" s="19" t="inlineStr">
        <is>
          <t>외상성 출혈 시 결찰 대상 - 뇌를 공급하지 않아 결찰해도 비교적 안전</t>
        </is>
      </c>
      <c r="M9" s="20" t="n"/>
    </row>
    <row r="10" ht="27.75" customHeight="1">
      <c r="A10" s="17" t="inlineStr">
        <is>
          <t>☐</t>
        </is>
      </c>
      <c r="B10" s="18" t="inlineStr">
        <is>
          <t>목 동맥계</t>
        </is>
      </c>
      <c r="C10" s="19" t="inlineStr">
        <is>
          <t>얼굴동맥(안면동맥)</t>
        </is>
      </c>
      <c r="D10" s="20" t="inlineStr">
        <is>
          <t>Facial artery</t>
        </is>
      </c>
      <c r="E10" s="19" t="inlineStr">
        <is>
          <t>바깥목동맥</t>
        </is>
      </c>
      <c r="F10" s="19" t="inlineStr">
        <is>
          <t>턱밑샘을 지나 아래턱뼈 아래모서리를 넘어 얼굴로 나와 입꼬리·코가쪽을 지나 눈안쪽모서리로 주행</t>
        </is>
      </c>
      <c r="G10" s="19" t="inlineStr">
        <is>
          <t>위입술동맥, 아래입술동맥, 코가쪽동맥</t>
        </is>
      </c>
      <c r="H10" s="19" t="inlineStr">
        <is>
          <t>눈동맥 가지(도르래위·눈확위동맥)와 눈안쪽모서리에서 문합</t>
        </is>
      </c>
      <c r="I10" s="19" t="inlineStr">
        <is>
          <t>얼굴 표정근, 입술, 코</t>
        </is>
      </c>
      <c r="J10" s="19" t="inlineStr">
        <is>
          <t>얼굴정맥 (다소 다른 경로로 주행)</t>
        </is>
      </c>
      <c r="K10" s="19" t="inlineStr">
        <is>
          <t>아래턱뼈 아래모서리, 깨물근 앞모서리</t>
        </is>
      </c>
      <c r="L10" s="19" t="inlineStr">
        <is>
          <t>얼굴 열상 시 출혈 많은 혈관, 입술필러 시술 시 오인 주사 위험부위</t>
        </is>
      </c>
      <c r="M10" s="20" t="n"/>
    </row>
    <row r="11" ht="27.75" customHeight="1">
      <c r="A11" s="17" t="inlineStr">
        <is>
          <t>☐</t>
        </is>
      </c>
      <c r="B11" s="18" t="inlineStr">
        <is>
          <t>목 동맥계</t>
        </is>
      </c>
      <c r="C11" s="19" t="inlineStr">
        <is>
          <t>얕은관자동맥(천측두동맥)</t>
        </is>
      </c>
      <c r="D11" s="20" t="inlineStr">
        <is>
          <t>Superficial temporal artery</t>
        </is>
      </c>
      <c r="E11" s="19" t="inlineStr">
        <is>
          <t>바깥목동맥 (끝가지)</t>
        </is>
      </c>
      <c r="F11" s="19" t="inlineStr">
        <is>
          <t>귀밑샘 속을 지나 광대활 위로 올라가 관자부위 피부밑 주행</t>
        </is>
      </c>
      <c r="G11" s="19" t="inlineStr">
        <is>
          <t>앞이마가지, 마루가지, 중간관자동맥</t>
        </is>
      </c>
      <c r="H11" s="19" t="inlineStr">
        <is>
          <t>반대쪽 얕은관자동맥, 눈확위동맥과 문합</t>
        </is>
      </c>
      <c r="I11" s="19" t="inlineStr">
        <is>
          <t>관자부위·이마 머리덮개, 귀밑샘</t>
        </is>
      </c>
      <c r="J11" s="19" t="inlineStr">
        <is>
          <t>관자정맥, 귀관자신경</t>
        </is>
      </c>
      <c r="K11" s="19" t="inlineStr">
        <is>
          <t>귀 앞쪽, 광대활 위</t>
        </is>
      </c>
      <c r="L11" s="19" t="inlineStr">
        <is>
          <t>거대세포동맥염(측두동맥염)의 호발혈관 - 진단 시 생검 대상</t>
        </is>
      </c>
      <c r="M11" s="20" t="n"/>
    </row>
    <row r="12" ht="27.75" customHeight="1">
      <c r="A12" s="17" t="inlineStr">
        <is>
          <t>☐</t>
        </is>
      </c>
      <c r="B12" s="18" t="inlineStr">
        <is>
          <t>목 동맥계</t>
        </is>
      </c>
      <c r="C12" s="19" t="inlineStr">
        <is>
          <t>위턱동맥(악동맥)</t>
        </is>
      </c>
      <c r="D12" s="20" t="inlineStr">
        <is>
          <t>Maxillary artery</t>
        </is>
      </c>
      <c r="E12" s="19" t="inlineStr">
        <is>
          <t>바깥목동맥 (끝가지)</t>
        </is>
      </c>
      <c r="F12" s="20" t="inlineStr">
        <is>
          <t>아래턱뼈 목 안쪽을 지나 관자아래오목·날개입천장오목으로 주행 (3부분으로 구분)</t>
        </is>
      </c>
      <c r="G12" s="19" t="inlineStr">
        <is>
          <t>아래이틀동맥, 중간뇌막동맥, 눈확아래동맥, 위이틀동맥</t>
        </is>
      </c>
      <c r="H12" s="19" t="inlineStr">
        <is>
          <t>얼굴동맥·눈동맥 가지들과 문합</t>
        </is>
      </c>
      <c r="I12" s="19" t="inlineStr">
        <is>
          <t>씹기근, 이틀(치아), 코안, 경질막(중간뇌막동맥)</t>
        </is>
      </c>
      <c r="J12" s="19" t="inlineStr">
        <is>
          <t>하악신경 가지들과 동반</t>
        </is>
      </c>
      <c r="K12" s="19" t="inlineStr">
        <is>
          <t>해당없음 (깊이 주행)</t>
        </is>
      </c>
      <c r="L12" s="19" t="inlineStr">
        <is>
          <t>중간뇌막동맥 손상 시 경질막바깥출혈(급성) - 익점(pterion) 골절과 연관</t>
        </is>
      </c>
      <c r="M12" s="20" t="n"/>
    </row>
    <row r="13" ht="27.75" customHeight="1">
      <c r="A13" s="17" t="inlineStr">
        <is>
          <t>☐</t>
        </is>
      </c>
      <c r="B13" s="18" t="inlineStr">
        <is>
          <t>목 동맥계</t>
        </is>
      </c>
      <c r="C13" s="19" t="inlineStr">
        <is>
          <t>척추동맥(추골동맥)</t>
        </is>
      </c>
      <c r="D13" s="20" t="inlineStr">
        <is>
          <t>Vertebral artery</t>
        </is>
      </c>
      <c r="E13" s="19" t="inlineStr">
        <is>
          <t>빗장밑동맥</t>
        </is>
      </c>
      <c r="F13" s="19" t="inlineStr">
        <is>
          <t>C6~C1 가로구멍을 통해 위로 올라가 큰구멍(대공)을 통해 두개내 진입</t>
        </is>
      </c>
      <c r="G13" s="19" t="inlineStr">
        <is>
          <t>없음 (목 부분) - 두개내에서 좌우 합쳐져 뇌바닥동맥</t>
        </is>
      </c>
      <c r="H13" s="19" t="inlineStr">
        <is>
          <t>좌우 척추동맥이 합쳐져 뇌바닥동맥(기저동맥) 형성</t>
        </is>
      </c>
      <c r="I13" s="19" t="inlineStr">
        <is>
          <t>척수(목분절), 뇌줄기, 소뇌, 뒤대뇌 부위</t>
        </is>
      </c>
      <c r="J13" s="19" t="inlineStr">
        <is>
          <t>척추정맥얼기</t>
        </is>
      </c>
      <c r="K13" s="19" t="inlineStr">
        <is>
          <t>해당없음</t>
        </is>
      </c>
      <c r="L13" s="19" t="inlineStr">
        <is>
          <t>목 과신전·회전 시 손상 위험(척추동맥박리, 카이로프랙틱 시술 합병증 보고) - 후방순환 뇌졸중 원인</t>
        </is>
      </c>
      <c r="M13" s="20" t="n"/>
    </row>
    <row r="14" ht="27.75" customHeight="1">
      <c r="A14" s="17" t="inlineStr">
        <is>
          <t>☐</t>
        </is>
      </c>
      <c r="B14" s="18" t="inlineStr">
        <is>
          <t>대뇌동맥고리</t>
        </is>
      </c>
      <c r="C14" s="19" t="inlineStr">
        <is>
          <t>뇌바닥동맥(기저동맥)</t>
        </is>
      </c>
      <c r="D14" s="20" t="inlineStr">
        <is>
          <t>Basilar artery</t>
        </is>
      </c>
      <c r="E14" s="19" t="inlineStr">
        <is>
          <t>좌우 척추동맥의 합류</t>
        </is>
      </c>
      <c r="F14" s="19" t="inlineStr">
        <is>
          <t>뇌줄기(다리뇌) 앞면을 따라 위로 주행</t>
        </is>
      </c>
      <c r="G14" s="19" t="inlineStr">
        <is>
          <t>소뇌동맥(아래앞·위소뇌동맥), 다리뇌가지, 뒤대뇌동맥(끝분지)</t>
        </is>
      </c>
      <c r="H14" s="19" t="inlineStr">
        <is>
          <t>뒤교통동맥을 통해 속목동맥계와 연결 (대뇌동맥고리 완성)</t>
        </is>
      </c>
      <c r="I14" s="19" t="inlineStr">
        <is>
          <t>뇌줄기, 소뇌, 뒤대뇌반구·시상</t>
        </is>
      </c>
      <c r="J14" s="19" t="inlineStr">
        <is>
          <t>없음</t>
        </is>
      </c>
      <c r="K14" s="19" t="inlineStr">
        <is>
          <t>해당없음</t>
        </is>
      </c>
      <c r="L14" s="19" t="inlineStr">
        <is>
          <t>폐쇄 시 감금증후군(locked-in syndrome) 등 치명적 뇌줄기증후군 유발 가능</t>
        </is>
      </c>
      <c r="M14" s="20" t="n"/>
    </row>
    <row r="15" ht="27.75" customHeight="1">
      <c r="A15" s="17" t="inlineStr">
        <is>
          <t>☐</t>
        </is>
      </c>
      <c r="B15" s="18" t="inlineStr">
        <is>
          <t>대뇌동맥고리</t>
        </is>
      </c>
      <c r="C15" s="19" t="inlineStr">
        <is>
          <t>대뇌동맥고리 구성동맥</t>
        </is>
      </c>
      <c r="D15" s="20" t="inlineStr">
        <is>
          <t>Circle of Willis (ACA/MCA/PCA/AComm/PComm)</t>
        </is>
      </c>
      <c r="E15" s="19" t="inlineStr">
        <is>
          <t>속목동맥(앞·중간대뇌동맥, 앞·뒤교통동맥) 및 뇌바닥동맥(뒤대뇌동맥)</t>
        </is>
      </c>
      <c r="F15" s="19" t="inlineStr">
        <is>
          <t>뇌바닥에서 고리 모양으로 서로 연결</t>
        </is>
      </c>
      <c r="G15" s="19" t="inlineStr">
        <is>
          <t>중간대뇌동맥 → 렌즈핵선조체동맥(기저핵 공급)</t>
        </is>
      </c>
      <c r="H15" s="19" t="inlineStr">
        <is>
          <t>고리 자체가 속목동맥계·척추뇌바닥동맥계 사이 주요 문합(측부순환로)</t>
        </is>
      </c>
      <c r="I15" s="20" t="inlineStr">
        <is>
          <t>대뇌반구 전체 (앞·중간·뒤대뇌동맥 분포영역대로)</t>
        </is>
      </c>
      <c r="J15" s="19" t="inlineStr">
        <is>
          <t>없음</t>
        </is>
      </c>
      <c r="K15" s="19" t="inlineStr">
        <is>
          <t>해당없음</t>
        </is>
      </c>
      <c r="L15" s="19" t="inlineStr">
        <is>
          <t>해부학적 변이 흔함(약 50%), 뇌동맥류 호발부위(특히 앞교통동맥), 한쪽 속목동맥 폐쇄 시 측부순환 경로</t>
        </is>
      </c>
      <c r="M15" s="20" t="n"/>
    </row>
  </sheetData>
  <autoFilter ref="A2:M14"/>
  <mergeCells count="1">
    <mergeCell ref="A1:M1"/>
  </mergeCells>
  <dataValidations count="1">
    <dataValidation sqref="A3:A15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E74C3C"/>
    <outlinePr summaryBelow="1" summaryRight="1"/>
    <pageSetUpPr/>
  </sheetPr>
  <dimension ref="A1:M1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5" t="inlineStr">
        <is>
          <t>상지 동맥계 (Upper Limb)  —  동맥 학습 체크리스트  (총 9개,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27.75" customHeight="1">
      <c r="A3" s="17" t="inlineStr">
        <is>
          <t>☐</t>
        </is>
      </c>
      <c r="B3" s="18" t="inlineStr">
        <is>
          <t>팔이음구조</t>
        </is>
      </c>
      <c r="C3" s="19" t="inlineStr">
        <is>
          <t>빗장밑동맥(쇄골하동맥)</t>
        </is>
      </c>
      <c r="D3" s="20" t="inlineStr">
        <is>
          <t>Subclavian artery</t>
        </is>
      </c>
      <c r="E3" s="19" t="inlineStr">
        <is>
          <t>오른쪽=팔머리동맥 / 왼쪽=대동맥활</t>
        </is>
      </c>
      <c r="F3" s="19" t="inlineStr">
        <is>
          <t>앞목갈비근 위를 지나 첫째갈비뼈 가쪽모서리에서 겨드랑동맥으로 이행</t>
        </is>
      </c>
      <c r="G3" s="19" t="inlineStr">
        <is>
          <t>척추동맥, 속가슴동맥, 갑상목동맥, 갈비목동맥</t>
        </is>
      </c>
      <c r="H3" s="19" t="inlineStr">
        <is>
          <t>첫째갈비뼈 가쪽모서리에서 겨드랑동맥으로 이름이 바뀜</t>
        </is>
      </c>
      <c r="I3" s="20" t="inlineStr">
        <is>
          <t>(분지를 통해) 뇌, 목, 가슴벽, 어깨</t>
        </is>
      </c>
      <c r="J3" s="19" t="inlineStr">
        <is>
          <t>빗장밑정맥(앞목갈비근 앞), 팔신경얼기</t>
        </is>
      </c>
      <c r="K3" s="19" t="inlineStr">
        <is>
          <t>빗장위오목에서 깊게 촉진 가능</t>
        </is>
      </c>
      <c r="L3" s="19" t="inlineStr">
        <is>
          <t>흉곽출구증후군에서 압박받는 혈관, 도둑동맥증후군(subclavian steal)</t>
        </is>
      </c>
      <c r="M3" s="20" t="n"/>
    </row>
    <row r="4" ht="27.75" customHeight="1">
      <c r="A4" s="17" t="inlineStr">
        <is>
          <t>☐</t>
        </is>
      </c>
      <c r="B4" s="18" t="inlineStr">
        <is>
          <t>팔이음구조</t>
        </is>
      </c>
      <c r="C4" s="19" t="inlineStr">
        <is>
          <t>겨드랑동맥(액와동맥)</t>
        </is>
      </c>
      <c r="D4" s="20" t="inlineStr">
        <is>
          <t>Axillary artery</t>
        </is>
      </c>
      <c r="E4" s="19" t="inlineStr">
        <is>
          <t>빗장밑동맥 (첫째갈비뼈 가쪽모서리부터)</t>
        </is>
      </c>
      <c r="F4" s="19" t="inlineStr">
        <is>
          <t>겨드랑오목을 지나 작은가슴근 기준 3부분으로 구분, 큰원근 아래모서리에서 위팔동맥으로 이행</t>
        </is>
      </c>
      <c r="G4" s="19" t="inlineStr">
        <is>
          <t>위가슴벽동맥, 가슴봉우리동맥, 가쪽가슴동맥, 어깨밑동맥, 앞·뒤위팔휨동맥</t>
        </is>
      </c>
      <c r="H4" s="19" t="inlineStr">
        <is>
          <t>큰원근 아래모서리에서 위팔동맥으로 이름이 바뀜</t>
        </is>
      </c>
      <c r="I4" s="19" t="inlineStr">
        <is>
          <t>어깨 근육(가시위·가시아래근 등), 가슴벽 가쪽부</t>
        </is>
      </c>
      <c r="J4" s="19" t="inlineStr">
        <is>
          <t>겨드랑정맥, 팔신경얼기(다발이 동맥을 감쌈)</t>
        </is>
      </c>
      <c r="K4" s="19" t="inlineStr">
        <is>
          <t>겨드랑오목 깊은 곳</t>
        </is>
      </c>
      <c r="L4" s="19" t="inlineStr">
        <is>
          <t>어깨탈구 시 손상 위험(특히 앞위팔휨동맥), 겨드랑림프절절제술 시 주의 구조물</t>
        </is>
      </c>
      <c r="M4" s="20" t="n"/>
    </row>
    <row r="5" ht="27.75" customHeight="1">
      <c r="A5" s="17" t="inlineStr">
        <is>
          <t>☐</t>
        </is>
      </c>
      <c r="B5" s="18" t="inlineStr">
        <is>
          <t>팔 동맥계</t>
        </is>
      </c>
      <c r="C5" s="19" t="inlineStr">
        <is>
          <t>위팔동맥(상완동맥)</t>
        </is>
      </c>
      <c r="D5" s="20" t="inlineStr">
        <is>
          <t>Brachial artery</t>
        </is>
      </c>
      <c r="E5" s="19" t="inlineStr">
        <is>
          <t>겨드랑동맥 (큰원근 아래모서리부터)</t>
        </is>
      </c>
      <c r="F5" s="19" t="inlineStr">
        <is>
          <t>위팔 안쪽 위팔두갈래근 안쪽고랑을 따라 내려가 팔오금에서 노동맥·자동맥으로 분지</t>
        </is>
      </c>
      <c r="G5" s="19" t="inlineStr">
        <is>
          <t>위팔깊은동맥, 위·아래자쪽곁동맥</t>
        </is>
      </c>
      <c r="H5" s="19" t="inlineStr">
        <is>
          <t>팔오금(노뼈목 높이)에서 노동맥·자동맥으로 분지</t>
        </is>
      </c>
      <c r="I5" s="19" t="inlineStr">
        <is>
          <t>위팔 앞칸 근육(위팔두갈래근, 위팔근 등)</t>
        </is>
      </c>
      <c r="J5" s="19" t="inlineStr">
        <is>
          <t>정중신경(아래팔에서 동맥과 교차), 위팔정맥</t>
        </is>
      </c>
      <c r="K5" s="19" t="inlineStr">
        <is>
          <t>위팔두갈래근 안쪽고랑, 팔오금 안쪽 (혈압측정 청진부위)</t>
        </is>
      </c>
      <c r="L5" s="19" t="inlineStr">
        <is>
          <t>혈압측정의 표준 촉진·청진 부위, 위팔뼈골절 시 노신경과 함께 손상 위험</t>
        </is>
      </c>
      <c r="M5" s="20" t="n"/>
    </row>
    <row r="6" ht="37.5" customHeight="1">
      <c r="A6" s="17" t="inlineStr">
        <is>
          <t>☐</t>
        </is>
      </c>
      <c r="B6" s="18" t="inlineStr">
        <is>
          <t>팔 동맥계</t>
        </is>
      </c>
      <c r="C6" s="19" t="inlineStr">
        <is>
          <t>위팔깊은동맥(상완심동맥)</t>
        </is>
      </c>
      <c r="D6" s="20" t="inlineStr">
        <is>
          <t>Deep brachial (profunda brachii) artery</t>
        </is>
      </c>
      <c r="E6" s="19" t="inlineStr">
        <is>
          <t>위팔동맥 (근위부 첫 큰 가지)</t>
        </is>
      </c>
      <c r="F6" s="19" t="inlineStr">
        <is>
          <t>노신경과 함께 위팔뼈 노신경고랑(나선고랑)을 따라 뒤칸으로 감아 돌아 내려감</t>
        </is>
      </c>
      <c r="G6" s="19" t="inlineStr">
        <is>
          <t>중간곁동맥, 노쪽곁동맥</t>
        </is>
      </c>
      <c r="H6" s="19" t="inlineStr">
        <is>
          <t>노쪽되돌이동맥·뼈사이되돌이동맥과 팔꿈치동맥그물에서 문합</t>
        </is>
      </c>
      <c r="I6" s="19" t="inlineStr">
        <is>
          <t>위팔세갈래근, 위팔뼈 몸통, 노신경</t>
        </is>
      </c>
      <c r="J6" s="19" t="inlineStr">
        <is>
          <t>노신경(나선고랑에서 동반 주행)</t>
        </is>
      </c>
      <c r="K6" s="19" t="inlineStr">
        <is>
          <t>해당없음</t>
        </is>
      </c>
      <c r="L6" s="19" t="inlineStr">
        <is>
          <t>위팔뼈 몸통 골절 시 노신경과 함께 손상되는 대표 혈관 — 팔꿈치동맥그물로 측부순환 확보</t>
        </is>
      </c>
      <c r="M6" s="20" t="n"/>
    </row>
    <row r="7" ht="27.75" customHeight="1">
      <c r="A7" s="17" t="inlineStr">
        <is>
          <t>☐</t>
        </is>
      </c>
      <c r="B7" s="18" t="inlineStr">
        <is>
          <t>팔 동맥계</t>
        </is>
      </c>
      <c r="C7" s="19" t="inlineStr">
        <is>
          <t>노동맥(요골동맥)</t>
        </is>
      </c>
      <c r="D7" s="20" t="inlineStr">
        <is>
          <t>Radial artery</t>
        </is>
      </c>
      <c r="E7" s="19" t="inlineStr">
        <is>
          <t>위팔동맥 (팔오금에서 분지)</t>
        </is>
      </c>
      <c r="F7" s="19" t="inlineStr">
        <is>
          <t>노쪽손목굽힘근 힘줄 가쪽을 따라 아래팔 가쪽으로 내려가 손목에서 해부학적코담배갑을 지나 손등으로 감</t>
        </is>
      </c>
      <c r="G7" s="19" t="inlineStr">
        <is>
          <t>노쪽되돌이동맥, 얕은손바닥가지</t>
        </is>
      </c>
      <c r="H7" s="19" t="inlineStr">
        <is>
          <t>깊은손바닥활(주형성)에서 자동맥 깊은가지와 문합</t>
        </is>
      </c>
      <c r="I7" s="19" t="inlineStr">
        <is>
          <t>아래팔 가쪽 근육 일부, 손등·엄지</t>
        </is>
      </c>
      <c r="J7" s="19" t="inlineStr">
        <is>
          <t>노신경 얕은가지(손목 부근 인접)</t>
        </is>
      </c>
      <c r="K7" s="19" t="inlineStr">
        <is>
          <t>손목 앞가쪽, 노쪽손목굽힘근 힘줄 가쪽 (가장 흔한 맥박 촉진부위)</t>
        </is>
      </c>
      <c r="L7" s="20" t="inlineStr">
        <is>
          <t>동맥혈가스검사·동맥관 삽입 표준 부위(Allen test 선행), 해부학적코담배갑 바닥에서 손배뼈 골절과 인접</t>
        </is>
      </c>
      <c r="M7" s="20" t="n"/>
    </row>
    <row r="8" ht="27.75" customHeight="1">
      <c r="A8" s="17" t="inlineStr">
        <is>
          <t>☐</t>
        </is>
      </c>
      <c r="B8" s="18" t="inlineStr">
        <is>
          <t>팔 동맥계</t>
        </is>
      </c>
      <c r="C8" s="19" t="inlineStr">
        <is>
          <t>자동맥(척골동맥)</t>
        </is>
      </c>
      <c r="D8" s="20" t="inlineStr">
        <is>
          <t>Ulnar artery</t>
        </is>
      </c>
      <c r="E8" s="19" t="inlineStr">
        <is>
          <t>위팔동맥 (팔오금에서 분지)</t>
        </is>
      </c>
      <c r="F8" s="19" t="inlineStr">
        <is>
          <t>자쪽손목굽힘근 아래를 따라 아래팔 안쪽으로 내려가 손목 Guyon관을 통해 손으로 진입</t>
        </is>
      </c>
      <c r="G8" s="19" t="inlineStr">
        <is>
          <t>온뼈사이동맥, 자쪽되돌이동맥</t>
        </is>
      </c>
      <c r="H8" s="19" t="inlineStr">
        <is>
          <t>얕은손바닥활(주형성)에서 노동맥 얕은가지와 문합</t>
        </is>
      </c>
      <c r="I8" s="19" t="inlineStr">
        <is>
          <t>아래팔 안쪽 근육 대부분, 손바닥·새끼쪽</t>
        </is>
      </c>
      <c r="J8" s="19" t="inlineStr">
        <is>
          <t>자신경 (손목에서 Guyon관을 함께 통과)</t>
        </is>
      </c>
      <c r="K8" s="19" t="inlineStr">
        <is>
          <t>손목 앞안쪽, 자쪽손목굽힘근 힘줄 안쪽</t>
        </is>
      </c>
      <c r="L8" s="19" t="inlineStr">
        <is>
          <t>Guyon관 증후군에서 자신경과 함께 압박 가능, 손목 열상 시 자신경 동반손상 흔함</t>
        </is>
      </c>
      <c r="M8" s="20" t="n"/>
    </row>
    <row r="9" ht="27.75" customHeight="1">
      <c r="A9" s="17" t="inlineStr">
        <is>
          <t>☐</t>
        </is>
      </c>
      <c r="B9" s="18" t="inlineStr">
        <is>
          <t>팔 동맥계</t>
        </is>
      </c>
      <c r="C9" s="19" t="inlineStr">
        <is>
          <t>온뼈사이동맥(총골간동맥)</t>
        </is>
      </c>
      <c r="D9" s="20" t="inlineStr">
        <is>
          <t>Common interosseous artery</t>
        </is>
      </c>
      <c r="E9" s="19" t="inlineStr">
        <is>
          <t>자동맥</t>
        </is>
      </c>
      <c r="F9" s="19" t="inlineStr">
        <is>
          <t>짧게 주행 후 뼈사이막 앞·뒤로 나뉘어 앞·뒤뼈사이동맥으로 분지</t>
        </is>
      </c>
      <c r="G9" s="19" t="inlineStr">
        <is>
          <t>앞뼈사이동맥, 뒤뼈사이동맥</t>
        </is>
      </c>
      <c r="H9" s="19" t="inlineStr">
        <is>
          <t>손목 부위에서 노동맥·자동맥 가지들과 문합</t>
        </is>
      </c>
      <c r="I9" s="19" t="inlineStr">
        <is>
          <t>아래팔 깊은층 근육(긴엄지굽힘근, 네모엎침근 등)</t>
        </is>
      </c>
      <c r="J9" s="19" t="inlineStr">
        <is>
          <t>정중신경의 앞뼈사이신경(앞뼈사이동맥과 동반)</t>
        </is>
      </c>
      <c r="K9" s="19" t="inlineStr">
        <is>
          <t>해당없음</t>
        </is>
      </c>
      <c r="L9" s="19" t="inlineStr">
        <is>
          <t>아래팔 깊은구획증후군과 관련된 주요 혈관</t>
        </is>
      </c>
      <c r="M9" s="20" t="n"/>
    </row>
    <row r="10" ht="27.75" customHeight="1">
      <c r="A10" s="17" t="inlineStr">
        <is>
          <t>☐</t>
        </is>
      </c>
      <c r="B10" s="18" t="inlineStr">
        <is>
          <t>손 동맥계</t>
        </is>
      </c>
      <c r="C10" s="19" t="inlineStr">
        <is>
          <t>얕은손바닥동맥활</t>
        </is>
      </c>
      <c r="D10" s="20" t="inlineStr">
        <is>
          <t>Superficial palmar arch</t>
        </is>
      </c>
      <c r="E10" s="19" t="inlineStr">
        <is>
          <t>자동맥(주끝가지) + 노동맥 얕은손바닥가지(문합)</t>
        </is>
      </c>
      <c r="F10" s="19" t="inlineStr">
        <is>
          <t>손바닥널힘줄 바로 아래, 굽힘근지지띠보다 원위부에서 활 모양으로 주행</t>
        </is>
      </c>
      <c r="G10" s="19" t="inlineStr">
        <is>
          <t>온바닥쪽손가락동맥(4개) → 고유바닥쪽손가락동맥</t>
        </is>
      </c>
      <c r="H10" s="19" t="inlineStr">
        <is>
          <t>노동맥 가지와 문합하여 활을 완성</t>
        </is>
      </c>
      <c r="I10" s="19" t="inlineStr">
        <is>
          <t>손바닥, 손가락(바닥쪽)</t>
        </is>
      </c>
      <c r="J10" s="19" t="inlineStr">
        <is>
          <t>정중신경 손바닥가지</t>
        </is>
      </c>
      <c r="K10" s="19" t="inlineStr">
        <is>
          <t>손바닥 중앙 (깊게 촉진 시)</t>
        </is>
      </c>
      <c r="L10" s="19" t="inlineStr">
        <is>
          <t>손바닥 열상 시 출혈 다량 - 깊은손바닥활보다 얕아 손상 빈도 높음</t>
        </is>
      </c>
      <c r="M10" s="20" t="n"/>
    </row>
    <row r="11" ht="27.75" customHeight="1">
      <c r="A11" s="17" t="inlineStr">
        <is>
          <t>☐</t>
        </is>
      </c>
      <c r="B11" s="18" t="inlineStr">
        <is>
          <t>손 동맥계</t>
        </is>
      </c>
      <c r="C11" s="19" t="inlineStr">
        <is>
          <t>깊은손바닥동맥활</t>
        </is>
      </c>
      <c r="D11" s="20" t="inlineStr">
        <is>
          <t>Deep palmar arch</t>
        </is>
      </c>
      <c r="E11" s="19" t="inlineStr">
        <is>
          <t>노동맥(주끝가지) + 자동맥 깊은가지(문합)</t>
        </is>
      </c>
      <c r="F11" s="19" t="inlineStr">
        <is>
          <t>뼈사이근 위, 굽힘근힘줄보다 깊은층에서 활 모양으로 주행</t>
        </is>
      </c>
      <c r="G11" s="19" t="inlineStr">
        <is>
          <t>바닥쪽손허리동맥(3개)</t>
        </is>
      </c>
      <c r="H11" s="19" t="inlineStr">
        <is>
          <t>자동맥 깊은가지와 문합</t>
        </is>
      </c>
      <c r="I11" s="20" t="inlineStr">
        <is>
          <t>뼈사이근, 엄지두덩근 일부</t>
        </is>
      </c>
      <c r="J11" s="19" t="inlineStr">
        <is>
          <t>자신경 깊은가지(운동가지, 동맥과 동반주행)</t>
        </is>
      </c>
      <c r="K11" s="19" t="inlineStr">
        <is>
          <t>해당없음 (깊이 위치)</t>
        </is>
      </c>
      <c r="L11" s="19" t="inlineStr">
        <is>
          <t>손 수술(특히 손허리뼈 접근) 시 손상 주의 구조물</t>
        </is>
      </c>
      <c r="M11" s="20" t="n"/>
    </row>
  </sheetData>
  <autoFilter ref="A2:M10"/>
  <mergeCells count="1">
    <mergeCell ref="A1:M1"/>
  </mergeCells>
  <dataValidations count="1">
    <dataValidation sqref="A3:A11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D6155"/>
    <outlinePr summaryBelow="1" summaryRight="1"/>
    <pageSetUpPr/>
  </sheetPr>
  <dimension ref="A1:M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4" t="inlineStr">
        <is>
          <t>가슴 동맥계 (Thorax)  —  동맥 학습 체크리스트  (총 5개,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27.75" customHeight="1">
      <c r="A3" s="17" t="inlineStr">
        <is>
          <t>☐</t>
        </is>
      </c>
      <c r="B3" s="18" t="inlineStr">
        <is>
          <t>가슴 본줄기</t>
        </is>
      </c>
      <c r="C3" s="19" t="inlineStr">
        <is>
          <t>가슴대동맥(흉대동맥)</t>
        </is>
      </c>
      <c r="D3" s="20" t="inlineStr">
        <is>
          <t>Thoracic aorta (descending)</t>
        </is>
      </c>
      <c r="E3" s="19" t="inlineStr">
        <is>
          <t>대동맥활 (T4 높이)</t>
        </is>
      </c>
      <c r="F3" s="19" t="inlineStr">
        <is>
          <t>척추 왼쪽 앞을 따라 내려가 가로막 대동맥틈새(T12)를 지나 배대동맥으로 이행</t>
        </is>
      </c>
      <c r="G3" s="19" t="inlineStr">
        <is>
          <t>뒤갈비사이동맥(9쌍), 위가로막동맥, 기관지동맥, 식도동맥, 심장막가지</t>
        </is>
      </c>
      <c r="H3" s="19" t="inlineStr">
        <is>
          <t>가로막 대동맥틈새를 지나 배대동맥으로 이행</t>
        </is>
      </c>
      <c r="I3" s="19" t="inlineStr">
        <is>
          <t>가슴벽, 가슴안 내장(식도, 기관지, 심장막)</t>
        </is>
      </c>
      <c r="J3" s="19" t="inlineStr">
        <is>
          <t>가슴림프관(오른쪽에서 동반 주행)</t>
        </is>
      </c>
      <c r="K3" s="19" t="inlineStr">
        <is>
          <t>해당없음</t>
        </is>
      </c>
      <c r="L3" s="19" t="inlineStr">
        <is>
          <t>대동맥박리(Stanford B형) 호발부위, 대동맥협착(coarctation) 호발부위 인접</t>
        </is>
      </c>
      <c r="M3" s="20" t="n"/>
    </row>
    <row r="4" ht="27.75" customHeight="1">
      <c r="A4" s="17" t="inlineStr">
        <is>
          <t>☐</t>
        </is>
      </c>
      <c r="B4" s="18" t="inlineStr">
        <is>
          <t>가슴벽 동맥계</t>
        </is>
      </c>
      <c r="C4" s="19" t="inlineStr">
        <is>
          <t>뒤갈비사이동맥(후늑간동맥)</t>
        </is>
      </c>
      <c r="D4" s="20" t="inlineStr">
        <is>
          <t>Posterior intercostal arteries</t>
        </is>
      </c>
      <c r="E4" s="19" t="inlineStr">
        <is>
          <t>가슴대동맥(3~11번), 1~2번은 갈비목동맥</t>
        </is>
      </c>
      <c r="F4" s="19" t="inlineStr">
        <is>
          <t>갈비뼈 사이공간을 따라 앞쪽으로 주행, 갈비뼈 아래모서리 갈비고랑을 따라 감</t>
        </is>
      </c>
      <c r="G4" s="19" t="inlineStr">
        <is>
          <t>등쪽가지(등근육·척수막), 가쪽피부가지</t>
        </is>
      </c>
      <c r="H4" s="19" t="inlineStr">
        <is>
          <t>앞쪽에서 속가슴동맥의 앞갈비사이가지와 문합</t>
        </is>
      </c>
      <c r="I4" s="19" t="inlineStr">
        <is>
          <t>갈비사이근, 가슴벽 피부, 척수(척수가지)</t>
        </is>
      </c>
      <c r="J4" s="19" t="inlineStr">
        <is>
          <t>갈비사이신경·정맥과 갈비고랑에서 동반주행 (정맥-동맥-신경 순)</t>
        </is>
      </c>
      <c r="K4" s="19" t="inlineStr">
        <is>
          <t>해당없음</t>
        </is>
      </c>
      <c r="L4" s="19" t="inlineStr">
        <is>
          <t>흉강천자(chest tube) 시 갈비뼈 위모서리 자상 원칙 - 갈비고랑 혈관신경다발 손상 회피 목적</t>
        </is>
      </c>
      <c r="M4" s="20" t="n"/>
    </row>
    <row r="5" ht="37.5" customHeight="1">
      <c r="A5" s="17" t="inlineStr">
        <is>
          <t>☐</t>
        </is>
      </c>
      <c r="B5" s="18" t="inlineStr">
        <is>
          <t>가슴벽 동맥계</t>
        </is>
      </c>
      <c r="C5" s="19" t="inlineStr">
        <is>
          <t>속가슴동맥(내흉동맥)</t>
        </is>
      </c>
      <c r="D5" s="20" t="inlineStr">
        <is>
          <t>Internal thoracic artery</t>
        </is>
      </c>
      <c r="E5" s="19" t="inlineStr">
        <is>
          <t>빗장밑동맥</t>
        </is>
      </c>
      <c r="F5" s="19" t="inlineStr">
        <is>
          <t>복장뼈 가쪽 약 1cm에서 아래로 주행, 6번 갈비사이공간에서 위배벽동맥·근육가로막동맥으로 끝분지</t>
        </is>
      </c>
      <c r="G5" s="19" t="inlineStr">
        <is>
          <t>앞갈비사이가지, 심장막가로막동맥, 근육가로막동맥, 위배벽동맥(끝가지)</t>
        </is>
      </c>
      <c r="H5" s="19" t="inlineStr">
        <is>
          <t>위배벽동맥이 배곧은근 안에서 아래배벽동맥과 문합 (중요 측부순환로)</t>
        </is>
      </c>
      <c r="I5" s="19" t="inlineStr">
        <is>
          <t>가슴벽 앞부분, 가로막, 배곧은근 위부분</t>
        </is>
      </c>
      <c r="J5" s="19" t="inlineStr">
        <is>
          <t>속가슴정맥</t>
        </is>
      </c>
      <c r="K5" s="19" t="inlineStr">
        <is>
          <t>해당없음</t>
        </is>
      </c>
      <c r="L5" s="19" t="inlineStr">
        <is>
          <t>심장동맥우회술(CABG)의 대표적 이식편 혈관(왼속가슴동맥→LAD 문합, 장기개통률 우수)</t>
        </is>
      </c>
      <c r="M5" s="20" t="n"/>
    </row>
    <row r="6" ht="27.75" customHeight="1">
      <c r="A6" s="17" t="inlineStr">
        <is>
          <t>☐</t>
        </is>
      </c>
      <c r="B6" s="18" t="inlineStr">
        <is>
          <t>가슴안 내장동맥</t>
        </is>
      </c>
      <c r="C6" s="19" t="inlineStr">
        <is>
          <t>기관지동맥</t>
        </is>
      </c>
      <c r="D6" s="20" t="inlineStr">
        <is>
          <t>Bronchial arteries</t>
        </is>
      </c>
      <c r="E6" s="19" t="inlineStr">
        <is>
          <t>가슴대동맥 (대개 왼쪽 2개, 오른쪽 1개, 변이 많음)</t>
        </is>
      </c>
      <c r="F6" s="19" t="inlineStr">
        <is>
          <t>기관지를 따라 허파문으로 들어가 기관지나무를 따라 분포</t>
        </is>
      </c>
      <c r="G6" s="19" t="inlineStr">
        <is>
          <t>없음 (기관지 분지를 따라 세분)</t>
        </is>
      </c>
      <c r="H6" s="19" t="inlineStr">
        <is>
          <t>허파동맥가지와 모세혈관 수준에서 문합</t>
        </is>
      </c>
      <c r="I6" s="19" t="inlineStr">
        <is>
          <t>기관지벽, 허파 지지조직 (가스교환 조직은 허파동맥이 담당)</t>
        </is>
      </c>
      <c r="J6" s="19" t="inlineStr">
        <is>
          <t>없음</t>
        </is>
      </c>
      <c r="K6" s="19" t="inlineStr">
        <is>
          <t>해당없음</t>
        </is>
      </c>
      <c r="L6" s="19" t="inlineStr">
        <is>
          <t>객혈(hemoptysis)의 주요 출혈원(체순환 고압 혈관) - 색전술 대상</t>
        </is>
      </c>
      <c r="M6" s="20" t="n"/>
    </row>
    <row r="7" ht="27.75" customHeight="1">
      <c r="A7" s="17" t="inlineStr">
        <is>
          <t>☐</t>
        </is>
      </c>
      <c r="B7" s="18" t="inlineStr">
        <is>
          <t>가슴안 내장동맥</t>
        </is>
      </c>
      <c r="C7" s="19" t="inlineStr">
        <is>
          <t>식도동맥</t>
        </is>
      </c>
      <c r="D7" s="20" t="inlineStr">
        <is>
          <t>Esophageal arteries</t>
        </is>
      </c>
      <c r="E7" s="19" t="inlineStr">
        <is>
          <t>가슴대동맥</t>
        </is>
      </c>
      <c r="F7" s="19" t="inlineStr">
        <is>
          <t>식도벽을 따라 분포 (짧은 여러 가지)</t>
        </is>
      </c>
      <c r="G7" s="19" t="inlineStr">
        <is>
          <t>없음</t>
        </is>
      </c>
      <c r="H7" s="19" t="inlineStr">
        <is>
          <t>위로는 아래갑상샘동맥, 아래로는 왼위동맥 가지와 문합 (식도 문합사슬)</t>
        </is>
      </c>
      <c r="I7" s="19" t="inlineStr">
        <is>
          <t>식도 중간부분</t>
        </is>
      </c>
      <c r="J7" s="19" t="inlineStr">
        <is>
          <t>없음</t>
        </is>
      </c>
      <c r="K7" s="19" t="inlineStr">
        <is>
          <t>해당없음</t>
        </is>
      </c>
      <c r="L7" s="19" t="inlineStr">
        <is>
          <t>식도절제술 시 분절별 혈류 공급원 이해 필요 (상:아래갑상샘동맥, 중:식도동맥, 하:왼위동맥)</t>
        </is>
      </c>
      <c r="M7" s="20" t="n"/>
    </row>
  </sheetData>
  <autoFilter ref="A2:M7"/>
  <mergeCells count="1">
    <mergeCell ref="A1:M1"/>
  </mergeCells>
  <dataValidations count="1">
    <dataValidation sqref="A3:A7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EC7063"/>
    <outlinePr summaryBelow="1" summaryRight="1"/>
    <pageSetUpPr/>
  </sheetPr>
  <dimension ref="A1:M1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3" t="inlineStr">
        <is>
          <t>배 동맥계 (Abdomen)  —  동맥 학습 체크리스트  (총 11개,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37.5" customHeight="1">
      <c r="A3" s="17" t="inlineStr">
        <is>
          <t>☐</t>
        </is>
      </c>
      <c r="B3" s="18" t="inlineStr">
        <is>
          <t>배 본줄기</t>
        </is>
      </c>
      <c r="C3" s="19" t="inlineStr">
        <is>
          <t>배대동맥(복대동맥)</t>
        </is>
      </c>
      <c r="D3" s="20" t="inlineStr">
        <is>
          <t>Abdominal aorta</t>
        </is>
      </c>
      <c r="E3" s="19" t="inlineStr">
        <is>
          <t>가슴대동맥 (가로막 대동맥틈새, T12)</t>
        </is>
      </c>
      <c r="F3" s="19" t="inlineStr">
        <is>
          <t>척추 앞을 따라 내려가 L4 높이에서 좌우 온엉덩동맥으로 끝분지</t>
        </is>
      </c>
      <c r="G3" s="19" t="inlineStr">
        <is>
          <t>복강동맥·위창자간막동맥·아래창자간막동맥(짝없는 내장가지) / 콩팥동맥·생식샘동맥·아래가로막동맥(짝있는가지) / 허리동맥(벽쪽)</t>
        </is>
      </c>
      <c r="H3" s="20" t="inlineStr">
        <is>
          <t>L4 높이에서 좌우 온엉덩동맥으로 분지</t>
        </is>
      </c>
      <c r="I3" s="20" t="inlineStr">
        <is>
          <t>(분지를 통해) 배안 내장 전체, 배벽, 다리</t>
        </is>
      </c>
      <c r="J3" s="19" t="inlineStr">
        <is>
          <t>아래대정맥(오른쪽에서 동반), 배대동맥신경얼기</t>
        </is>
      </c>
      <c r="K3" s="19" t="inlineStr">
        <is>
          <t>배꼽 약간 왼쪽·위에서 깊게 촉진 가능(마른 체형)</t>
        </is>
      </c>
      <c r="L3" s="19" t="inlineStr">
        <is>
          <t>배대동맥류(AAA) 호발부위(특히 콩팥동맥 아래) - 파열 시 치명적, 초음파 선별검사 대상</t>
        </is>
      </c>
      <c r="M3" s="20" t="n"/>
    </row>
    <row r="4" ht="27.75" customHeight="1">
      <c r="A4" s="17" t="inlineStr">
        <is>
          <t>☐</t>
        </is>
      </c>
      <c r="B4" s="18" t="inlineStr">
        <is>
          <t>내장동맥(짝없음)</t>
        </is>
      </c>
      <c r="C4" s="19" t="inlineStr">
        <is>
          <t>복강동맥</t>
        </is>
      </c>
      <c r="D4" s="20" t="inlineStr">
        <is>
          <t>Celiac trunk</t>
        </is>
      </c>
      <c r="E4" s="19" t="inlineStr">
        <is>
          <t>배대동맥 (T12 높이, 대동맥틈새 바로 아래)</t>
        </is>
      </c>
      <c r="F4" s="19" t="inlineStr">
        <is>
          <t>짧게 앞으로 주행 후 즉시 3가지로 분지</t>
        </is>
      </c>
      <c r="G4" s="19" t="inlineStr">
        <is>
          <t>온간동맥, 지라동맥, 왼위동맥</t>
        </is>
      </c>
      <c r="H4" s="19" t="inlineStr">
        <is>
          <t>각 분지를 통해 위창자간막동맥계와 문합(위십이지장동맥 ↔ 아래이자십이지장동맥)</t>
        </is>
      </c>
      <c r="I4" s="19" t="inlineStr">
        <is>
          <t>위, 간, 지라, 이자, 십이지장 위쪽</t>
        </is>
      </c>
      <c r="J4" s="19" t="inlineStr">
        <is>
          <t>복강신경얼기(동맥 주위를 감쌈)</t>
        </is>
      </c>
      <c r="K4" s="19" t="inlineStr">
        <is>
          <t>해당없음</t>
        </is>
      </c>
      <c r="L4" s="19" t="inlineStr">
        <is>
          <t>정중활꼴인대증후군(median arcuate ligament syndrome)에서 압박 받을 수 있는 혈관</t>
        </is>
      </c>
      <c r="M4" s="20" t="n"/>
    </row>
    <row r="5" ht="27.75" customHeight="1">
      <c r="A5" s="17" t="inlineStr">
        <is>
          <t>☐</t>
        </is>
      </c>
      <c r="B5" s="18" t="inlineStr">
        <is>
          <t>내장동맥(짝없음)</t>
        </is>
      </c>
      <c r="C5" s="19" t="inlineStr">
        <is>
          <t>온간동맥(총간동맥)</t>
        </is>
      </c>
      <c r="D5" s="20" t="inlineStr">
        <is>
          <t>Common hepatic artery</t>
        </is>
      </c>
      <c r="E5" s="19" t="inlineStr">
        <is>
          <t>복강동맥</t>
        </is>
      </c>
      <c r="F5" s="19" t="inlineStr">
        <is>
          <t>오른쪽으로 주행하며 위십이지장동맥을 낸 뒤 고유간동맥으로 이행</t>
        </is>
      </c>
      <c r="G5" s="19" t="inlineStr">
        <is>
          <t>위십이지장동맥, 고유간동맥(끝가지) → 오른위동맥은 통상 고유간동맥에서 분지(온간동맥 직접 분지는 변이)</t>
        </is>
      </c>
      <c r="H5" s="19" t="inlineStr">
        <is>
          <t>위십이지장동맥이 아래이자십이지장동맥(SMA계)과 문합</t>
        </is>
      </c>
      <c r="I5" s="19" t="inlineStr">
        <is>
          <t>간, 쓸개, 위 작은굽이, 이자머리·십이지장(위십이지장동맥 통해)</t>
        </is>
      </c>
      <c r="J5" s="19" t="inlineStr">
        <is>
          <t>간문맥, 온쓸개관 (문맥삼조: 동맥-정맥-관)</t>
        </is>
      </c>
      <c r="K5" s="19" t="inlineStr">
        <is>
          <t>해당없음</t>
        </is>
      </c>
      <c r="L5" s="19" t="inlineStr">
        <is>
          <t>간이식·쓸개절제술 시 핵심 랜드마크 혈관(Calot 삼각 내 쓸개동맥 변이 주의)</t>
        </is>
      </c>
      <c r="M5" s="20" t="n"/>
    </row>
    <row r="6" ht="27.75" customHeight="1">
      <c r="A6" s="17" t="inlineStr">
        <is>
          <t>☐</t>
        </is>
      </c>
      <c r="B6" s="18" t="inlineStr">
        <is>
          <t>내장동맥(짝없음)</t>
        </is>
      </c>
      <c r="C6" s="19" t="inlineStr">
        <is>
          <t>지라동맥(비장동맥)</t>
        </is>
      </c>
      <c r="D6" s="20" t="inlineStr">
        <is>
          <t>Splenic artery</t>
        </is>
      </c>
      <c r="E6" s="19" t="inlineStr">
        <is>
          <t>복강동맥</t>
        </is>
      </c>
      <c r="F6" s="19" t="inlineStr">
        <is>
          <t>이자 위모서리를 따라 구불구불하게 왼쪽으로 주행하여 지라문으로 진입</t>
        </is>
      </c>
      <c r="G6" s="19" t="inlineStr">
        <is>
          <t>이자가지(여러개), 짧은위동맥, 왼위대망동맥(왼위그물막동맥)</t>
        </is>
      </c>
      <c r="H6" s="19" t="inlineStr">
        <is>
          <t>짧은위동맥·왼위대망동맥(왼위그물막동맥)이 각각 오른위동맥·오른위대망동맥(오른위그물막동맥)과 문합</t>
        </is>
      </c>
      <c r="I6" s="19" t="inlineStr">
        <is>
          <t>지라, 이자 몸통·꼬리, 위 큰굽이 위쪽</t>
        </is>
      </c>
      <c r="J6" s="19" t="inlineStr">
        <is>
          <t>지라정맥(동맥 아래쪽에서 동반)</t>
        </is>
      </c>
      <c r="K6" s="19" t="inlineStr">
        <is>
          <t>해당없음</t>
        </is>
      </c>
      <c r="L6" s="19" t="inlineStr">
        <is>
          <t>매우 구불구불한 주행이 특징(영상에서 식별 용이), 이자꼬리절제술 시 지라 함께 손상 위험</t>
        </is>
      </c>
      <c r="M6" s="20" t="n"/>
    </row>
    <row r="7" ht="27.75" customHeight="1">
      <c r="A7" s="17" t="inlineStr">
        <is>
          <t>☐</t>
        </is>
      </c>
      <c r="B7" s="18" t="inlineStr">
        <is>
          <t>내장동맥(짝없음)</t>
        </is>
      </c>
      <c r="C7" s="19" t="inlineStr">
        <is>
          <t>왼위동맥(좌위동맥)</t>
        </is>
      </c>
      <c r="D7" s="20" t="inlineStr">
        <is>
          <t>Left gastric artery</t>
        </is>
      </c>
      <c r="E7" s="19" t="inlineStr">
        <is>
          <t>복강동맥 (가장 작은 가지)</t>
        </is>
      </c>
      <c r="F7" s="19" t="inlineStr">
        <is>
          <t>위 작은굽이를 따라 오른쪽으로 주행</t>
        </is>
      </c>
      <c r="G7" s="19" t="inlineStr">
        <is>
          <t>식도가지</t>
        </is>
      </c>
      <c r="H7" s="19" t="inlineStr">
        <is>
          <t>오른위동맥(고유간동맥 가지)과 위 작은굽이에서 문합</t>
        </is>
      </c>
      <c r="I7" s="19" t="inlineStr">
        <is>
          <t>위 작은굽이, 식도 아래부분</t>
        </is>
      </c>
      <c r="J7" s="19" t="inlineStr">
        <is>
          <t>없음</t>
        </is>
      </c>
      <c r="K7" s="19" t="inlineStr">
        <is>
          <t>해당없음</t>
        </is>
      </c>
      <c r="L7" s="19" t="inlineStr">
        <is>
          <t>위암 수술(위절제술) 시 림프절 청소의 기준 혈관 중 하나</t>
        </is>
      </c>
      <c r="M7" s="20" t="n"/>
    </row>
    <row r="8" ht="37.5" customHeight="1">
      <c r="A8" s="17" t="inlineStr">
        <is>
          <t>☐</t>
        </is>
      </c>
      <c r="B8" s="18" t="inlineStr">
        <is>
          <t>내장동맥(짝없음)</t>
        </is>
      </c>
      <c r="C8" s="19" t="inlineStr">
        <is>
          <t>위창자간막동맥(상장간막동맥)</t>
        </is>
      </c>
      <c r="D8" s="20" t="inlineStr">
        <is>
          <t>Superior mesenteric artery (SMA)</t>
        </is>
      </c>
      <c r="E8" s="19" t="inlineStr">
        <is>
          <t>배대동맥 (L1 높이, 복강동맥 바로 아래)</t>
        </is>
      </c>
      <c r="F8" s="19" t="inlineStr">
        <is>
          <t>이자 목 뒤를 지나 창자간막 사이로 내려가며 창자고리(arcade) 형성</t>
        </is>
      </c>
      <c r="G8" s="19" t="inlineStr">
        <is>
          <t>아래이자십이지장동맥, 중간결장동맥, 오른결장동맥, 돌창자결장동맥, 다수의 공장·회장동맥</t>
        </is>
      </c>
      <c r="H8" s="19" t="inlineStr">
        <is>
          <t>아래이자십이지장동맥이 위십이지장동맥과 문합, 가장자리동맥으로 IMA와 연속</t>
        </is>
      </c>
      <c r="I8" s="19" t="inlineStr">
        <is>
          <t>작은창자 전체(십이지장 아래~돌창자), 큰창자 오른쪽(막창자~횡행결장 2/3)</t>
        </is>
      </c>
      <c r="J8" s="19" t="inlineStr">
        <is>
          <t>위창자간막정맥</t>
        </is>
      </c>
      <c r="K8" s="19" t="inlineStr">
        <is>
          <t>해당없음</t>
        </is>
      </c>
      <c r="L8" s="19" t="inlineStr">
        <is>
          <t>급성 장간막허혈의 주요 원인 혈관(색전 호발), SMA증후군(십이지장 압박) 원인 혈관</t>
        </is>
      </c>
      <c r="M8" s="20" t="n"/>
    </row>
    <row r="9" ht="37.5" customHeight="1">
      <c r="A9" s="17" t="inlineStr">
        <is>
          <t>☐</t>
        </is>
      </c>
      <c r="B9" s="18" t="inlineStr">
        <is>
          <t>내장동맥(짝없음)</t>
        </is>
      </c>
      <c r="C9" s="19" t="inlineStr">
        <is>
          <t>아래창자간막동맥(하장간막동맥)</t>
        </is>
      </c>
      <c r="D9" s="20" t="inlineStr">
        <is>
          <t>Inferior mesenteric artery (IMA)</t>
        </is>
      </c>
      <c r="E9" s="19" t="inlineStr">
        <is>
          <t>배대동맥 (L3 높이)</t>
        </is>
      </c>
      <c r="F9" s="19" t="inlineStr">
        <is>
          <t>배대동맥 왼쪽 앞을 따라 아래로 주행</t>
        </is>
      </c>
      <c r="G9" s="19" t="inlineStr">
        <is>
          <t>왼결장동맥, 구불결장동맥(들), 위직장동맥(끝가지)</t>
        </is>
      </c>
      <c r="H9" s="19" t="inlineStr">
        <is>
          <t>위직장동맥이 중간·아래직장동맥(속엉덩동맥 가지)과 문합, 가장자리동맥으로 SMA와 연속</t>
        </is>
      </c>
      <c r="I9" s="19" t="inlineStr">
        <is>
          <t>큰창자 왼쪽(횡행결장 1/3~직장 위부분)</t>
        </is>
      </c>
      <c r="J9" s="19" t="inlineStr">
        <is>
          <t>없음</t>
        </is>
      </c>
      <c r="K9" s="19" t="inlineStr">
        <is>
          <t>해당없음</t>
        </is>
      </c>
      <c r="L9" s="20" t="inlineStr">
        <is>
          <t>Griffiths point(SMA-IMA 경계)·Sudeck point(IMA-직장동맥 경계)는 허혈성 대장염 호발부위</t>
        </is>
      </c>
      <c r="M9" s="20" t="n"/>
    </row>
    <row r="10" ht="27.75" customHeight="1">
      <c r="A10" s="17" t="inlineStr">
        <is>
          <t>☐</t>
        </is>
      </c>
      <c r="B10" s="18" t="inlineStr">
        <is>
          <t>내장동맥(짝있음)</t>
        </is>
      </c>
      <c r="C10" s="19" t="inlineStr">
        <is>
          <t>콩팥동맥(신동맥)</t>
        </is>
      </c>
      <c r="D10" s="20" t="inlineStr">
        <is>
          <t>Renal artery</t>
        </is>
      </c>
      <c r="E10" s="19" t="inlineStr">
        <is>
          <t>배대동맥 (L1~L2 높이, SMA 바로 아래)</t>
        </is>
      </c>
      <c r="F10" s="19" t="inlineStr">
        <is>
          <t>좌우로 짧게 주행하여 콩팥문으로 진입(오른쪽이 아래대정맥을 지나 더 길고 아래쪽 주행)</t>
        </is>
      </c>
      <c r="G10" s="19" t="inlineStr">
        <is>
          <t>앞가지·뒤가지(콩팥분절동맥), 위·아래콩팥동맥</t>
        </is>
      </c>
      <c r="H10" s="19" t="inlineStr">
        <is>
          <t>콩팥 안에서 끝동맥(end artery)으로 분포 - 문합 거의 없음</t>
        </is>
      </c>
      <c r="I10" s="19" t="inlineStr">
        <is>
          <t>콩팥</t>
        </is>
      </c>
      <c r="J10" s="19" t="inlineStr">
        <is>
          <t>콩팥정맥(동맥 앞쪽)</t>
        </is>
      </c>
      <c r="K10" s="19" t="inlineStr">
        <is>
          <t>해당없음</t>
        </is>
      </c>
      <c r="L10" s="19" t="inlineStr">
        <is>
          <t>콩팥동맥협착증(섬유근이형성증/죽상경화)이 이차성 고혈압의 원인, 끝동맥 폐쇄 시 해당 분절 경색</t>
        </is>
      </c>
      <c r="M10" s="20" t="n"/>
    </row>
    <row r="11" ht="37.5" customHeight="1">
      <c r="A11" s="17" t="inlineStr">
        <is>
          <t>☐</t>
        </is>
      </c>
      <c r="B11" s="18" t="inlineStr">
        <is>
          <t>내장동맥(짝있음)</t>
        </is>
      </c>
      <c r="C11" s="19" t="inlineStr">
        <is>
          <t>생식샘동맥(고환/난소동맥)</t>
        </is>
      </c>
      <c r="D11" s="20" t="inlineStr">
        <is>
          <t>Testicular / Ovarian artery</t>
        </is>
      </c>
      <c r="E11" s="19" t="inlineStr">
        <is>
          <t>배대동맥 (콩팥동맥보다 약간 아래, L2 높이)</t>
        </is>
      </c>
      <c r="F11" s="19" t="inlineStr">
        <is>
          <t>뒤배벽을 따라 길게 아래로 주행 - 고환동맥은 샅고랑관을 지나 음낭까지, 난소동맥은 난소걸이인대를 따라 골반내 주행</t>
        </is>
      </c>
      <c r="G11" s="19" t="inlineStr">
        <is>
          <t>없음</t>
        </is>
      </c>
      <c r="H11" s="19" t="inlineStr">
        <is>
          <t>고환동맥은 정관동맥과, 난소동맥은 자궁동맥 가지와 문합</t>
        </is>
      </c>
      <c r="I11" s="19" t="inlineStr">
        <is>
          <t>고환·부고환 또는 난소·자궁관</t>
        </is>
      </c>
      <c r="J11" s="19" t="inlineStr">
        <is>
          <t>덩굴정맥얼기(고환동맥 주위, 정삭 내)</t>
        </is>
      </c>
      <c r="K11" s="19" t="inlineStr">
        <is>
          <t>해당없음</t>
        </is>
      </c>
      <c r="L11" s="19" t="inlineStr">
        <is>
          <t>발생학적으로 콩팥 높이에서 기원해 길게 하강한 혈관(고환의 배아기 하강과 관련), 정계정맥류 수술적 접근 시 이해 필요</t>
        </is>
      </c>
      <c r="M11" s="20" t="n"/>
    </row>
    <row r="12" ht="27.75" customHeight="1">
      <c r="A12" s="17" t="inlineStr">
        <is>
          <t>☐</t>
        </is>
      </c>
      <c r="B12" s="18" t="inlineStr">
        <is>
          <t>벽쪽동맥</t>
        </is>
      </c>
      <c r="C12" s="19" t="inlineStr">
        <is>
          <t>아래가로막동맥(하횡격막동맥)</t>
        </is>
      </c>
      <c r="D12" s="20" t="inlineStr">
        <is>
          <t>Inferior phrenic artery</t>
        </is>
      </c>
      <c r="E12" s="19" t="inlineStr">
        <is>
          <t>배대동맥 (가로막 바로 아래, 복강동맥과 비슷한 높이)</t>
        </is>
      </c>
      <c r="F12" s="19" t="inlineStr">
        <is>
          <t>가로막 아래면을 따라 방사상으로 주행</t>
        </is>
      </c>
      <c r="G12" s="19" t="inlineStr">
        <is>
          <t>위쪽부신동맥</t>
        </is>
      </c>
      <c r="H12" s="19" t="inlineStr">
        <is>
          <t>속가슴동맥의 심장막가로막동맥과 위쪽에서 문합</t>
        </is>
      </c>
      <c r="I12" s="19" t="inlineStr">
        <is>
          <t>가로막, 부신(위쪽)</t>
        </is>
      </c>
      <c r="J12" s="19" t="inlineStr">
        <is>
          <t>없음</t>
        </is>
      </c>
      <c r="K12" s="19" t="inlineStr">
        <is>
          <t>해당없음</t>
        </is>
      </c>
      <c r="L12" s="19" t="inlineStr">
        <is>
          <t>부신은 위(아래가로막동맥)·중간(배대동맥 직접)·아래(콩팥동맥) 3중 동맥공급 - 시험 단골 포인트</t>
        </is>
      </c>
      <c r="M12" s="20" t="n"/>
    </row>
    <row r="13" ht="27.75" customHeight="1">
      <c r="A13" s="17" t="inlineStr">
        <is>
          <t>☐</t>
        </is>
      </c>
      <c r="B13" s="18" t="inlineStr">
        <is>
          <t>벽쪽동맥</t>
        </is>
      </c>
      <c r="C13" s="19" t="inlineStr">
        <is>
          <t>허리동맥(요동맥)</t>
        </is>
      </c>
      <c r="D13" s="20" t="inlineStr">
        <is>
          <t>Lumbar arteries</t>
        </is>
      </c>
      <c r="E13" s="19" t="inlineStr">
        <is>
          <t>배대동맥 (보통 4쌍, L1~L4 높이)</t>
        </is>
      </c>
      <c r="F13" s="19" t="inlineStr">
        <is>
          <t>허리뼈 몸통 가쪽을 따라 뒤가쪽으로 주행, 배가로근·널힘줄 사이로</t>
        </is>
      </c>
      <c r="G13" s="19" t="inlineStr">
        <is>
          <t>등쪽가지(척수가지 포함)</t>
        </is>
      </c>
      <c r="H13" s="19" t="inlineStr">
        <is>
          <t>위·아래 인접 허리동맥끼리, 엉덩허리동맥(속엉덩동맥 가지)과 문합</t>
        </is>
      </c>
      <c r="I13" s="19" t="inlineStr">
        <is>
          <t>뒤배벽 근육(허리네모근, 배가로근 등), 척수</t>
        </is>
      </c>
      <c r="J13" s="19" t="inlineStr">
        <is>
          <t>교감신경줄기(척주 앞을 지날 때 인접)</t>
        </is>
      </c>
      <c r="K13" s="19" t="inlineStr">
        <is>
          <t>해당없음</t>
        </is>
      </c>
      <c r="L13" s="19" t="inlineStr">
        <is>
          <t>배대동맥류 수술 시 결찰 대상 가지가 될 수 있음(척수앞동맥 혈류 고려 필요 - 척수허혈 위험)</t>
        </is>
      </c>
      <c r="M13" s="20" t="n"/>
    </row>
  </sheetData>
  <autoFilter ref="A2:M13"/>
  <mergeCells count="1">
    <mergeCell ref="A1:M1"/>
  </mergeCells>
  <dataValidations count="1">
    <dataValidation sqref="A3:A13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D98880"/>
    <outlinePr summaryBelow="1" summaryRight="1"/>
    <pageSetUpPr/>
  </sheetPr>
  <dimension ref="A1:M1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2" t="inlineStr">
        <is>
          <t>골반 · 샅 동맥계 (Pelvis &amp; Perineum)  —  동맥 학습 체크리스트  (총 9개,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27.75" customHeight="1">
      <c r="A3" s="17" t="inlineStr">
        <is>
          <t>☐</t>
        </is>
      </c>
      <c r="B3" s="18" t="inlineStr">
        <is>
          <t>골반 본줄기</t>
        </is>
      </c>
      <c r="C3" s="19" t="inlineStr">
        <is>
          <t>온엉덩동맥(총장골동맥)</t>
        </is>
      </c>
      <c r="D3" s="20" t="inlineStr">
        <is>
          <t>Common iliac artery</t>
        </is>
      </c>
      <c r="E3" s="19" t="inlineStr">
        <is>
          <t>배대동맥 (L4 높이 끝분지)</t>
        </is>
      </c>
      <c r="F3" s="19" t="inlineStr">
        <is>
          <t>아래가쪽으로 짧게 주행 후 엉치엉덩관절 앞에서 속·바깥엉덩동맥으로 분지</t>
        </is>
      </c>
      <c r="G3" s="19" t="inlineStr">
        <is>
          <t>없음 (끝가지로 분지)</t>
        </is>
      </c>
      <c r="H3" s="19" t="inlineStr">
        <is>
          <t>속엉덩동맥+바깥엉덩동맥으로 분지</t>
        </is>
      </c>
      <c r="I3" s="20" t="inlineStr">
        <is>
          <t>(분지를 통해) 골반, 다리</t>
        </is>
      </c>
      <c r="J3" s="19" t="inlineStr">
        <is>
          <t>온엉덩정맥</t>
        </is>
      </c>
      <c r="K3" s="19" t="inlineStr">
        <is>
          <t>해당없음 (깊이 위치)</t>
        </is>
      </c>
      <c r="L3" s="19" t="inlineStr">
        <is>
          <t>골반강 내 종양·임신자궁 압박으로 정맥혈전증(특히 왼쪽, May-Thurner 증후군) 유발 가능한 인접혈관</t>
        </is>
      </c>
      <c r="M3" s="20" t="n"/>
    </row>
    <row r="4" ht="37.5" customHeight="1">
      <c r="A4" s="17" t="inlineStr">
        <is>
          <t>☐</t>
        </is>
      </c>
      <c r="B4" s="18" t="inlineStr">
        <is>
          <t>골반 동맥계</t>
        </is>
      </c>
      <c r="C4" s="19" t="inlineStr">
        <is>
          <t>속엉덩동맥(내장골동맥)</t>
        </is>
      </c>
      <c r="D4" s="20" t="inlineStr">
        <is>
          <t>Internal iliac artery</t>
        </is>
      </c>
      <c r="E4" s="19" t="inlineStr">
        <is>
          <t>온엉덩동맥</t>
        </is>
      </c>
      <c r="F4" s="19" t="inlineStr">
        <is>
          <t>골반안으로 내려가며 앞가지·뒤가지로 나뉨</t>
        </is>
      </c>
      <c r="G4" s="20" t="inlineStr">
        <is>
          <t>[벽쪽] 엉덩허리동맥, 가쪽엉치동맥, 위·아래볼기동맥, 폐쇄동맥 / [내장쪽] 속음부동맥, 아래방광동맥, 중간직장동맥, 자궁동맥(여성)</t>
        </is>
      </c>
      <c r="H4" s="19" t="inlineStr">
        <is>
          <t>위·아래볼기동맥은 깊넙다리동맥 가지와, 폐쇄동맥은 아래배벽동맥과 문합</t>
        </is>
      </c>
      <c r="I4" s="19" t="inlineStr">
        <is>
          <t>골반벽, 골반장기(방광, 직장, 생식기), 볼기부위</t>
        </is>
      </c>
      <c r="J4" s="19" t="inlineStr">
        <is>
          <t>속엉덩정맥, 엉치신경얼기</t>
        </is>
      </c>
      <c r="K4" s="19" t="inlineStr">
        <is>
          <t>해당없음</t>
        </is>
      </c>
      <c r="L4" s="19" t="inlineStr">
        <is>
          <t>산후출혈 시 결찰 대상(자궁동맥/속엉덩동맥 결찰), 골반골절 시 출혈 주요 원인 - 색전술 대상</t>
        </is>
      </c>
      <c r="M4" s="20" t="n"/>
    </row>
    <row r="5" ht="27.75" customHeight="1">
      <c r="A5" s="17" t="inlineStr">
        <is>
          <t>☐</t>
        </is>
      </c>
      <c r="B5" s="18" t="inlineStr">
        <is>
          <t>골반 동맥계</t>
        </is>
      </c>
      <c r="C5" s="19" t="inlineStr">
        <is>
          <t>위볼기동맥(상둔동맥)</t>
        </is>
      </c>
      <c r="D5" s="20" t="inlineStr">
        <is>
          <t>Superior gluteal artery</t>
        </is>
      </c>
      <c r="E5" s="19" t="inlineStr">
        <is>
          <t>속엉덩동맥 뒤가지</t>
        </is>
      </c>
      <c r="F5" s="19" t="inlineStr">
        <is>
          <t>큰궁둥구멍(궁둥구멍근 위구멍)을 지나 볼기부위로 나옴 (골반을 나오는 가장 큰 가지)</t>
        </is>
      </c>
      <c r="G5" s="19" t="inlineStr">
        <is>
          <t>얕은가지, 깊은가지</t>
        </is>
      </c>
      <c r="H5" s="19" t="inlineStr">
        <is>
          <t>깊넙다리동맥 관통동맥가지들과 문합</t>
        </is>
      </c>
      <c r="I5" s="19" t="inlineStr">
        <is>
          <t>중간볼기근, 작은볼기근, 궁둥구멍근</t>
        </is>
      </c>
      <c r="J5" s="19" t="inlineStr">
        <is>
          <t>위볼기신경(같은 구멍 통과)</t>
        </is>
      </c>
      <c r="K5" s="19" t="inlineStr">
        <is>
          <t>해당없음</t>
        </is>
      </c>
      <c r="L5" s="19" t="inlineStr">
        <is>
          <t>골반골절·볼기부위 근육주사 시 손상 위험(엉덩이 근육주사는 이 혈관 손상 회피 위해 가쪽위구역에 시행)</t>
        </is>
      </c>
      <c r="M5" s="20" t="n"/>
    </row>
    <row r="6" ht="27.75" customHeight="1">
      <c r="A6" s="17" t="inlineStr">
        <is>
          <t>☐</t>
        </is>
      </c>
      <c r="B6" s="18" t="inlineStr">
        <is>
          <t>골반 동맥계</t>
        </is>
      </c>
      <c r="C6" s="19" t="inlineStr">
        <is>
          <t>아래볼기동맥(하둔동맥)</t>
        </is>
      </c>
      <c r="D6" s="20" t="inlineStr">
        <is>
          <t>Inferior gluteal artery</t>
        </is>
      </c>
      <c r="E6" s="19" t="inlineStr">
        <is>
          <t>속엉덩동맥 앞가지</t>
        </is>
      </c>
      <c r="F6" s="19" t="inlineStr">
        <is>
          <t>큰궁둥구멍(궁둥구멍근 아래구멍)을 지나 볼기부위로 나옴</t>
        </is>
      </c>
      <c r="G6" s="19" t="inlineStr">
        <is>
          <t>궁둥신경동반동맥(comitans artery of sciatic nerve)</t>
        </is>
      </c>
      <c r="H6" s="19" t="inlineStr">
        <is>
          <t>관통동맥가지, 오금동맥 가지와 문합</t>
        </is>
      </c>
      <c r="I6" s="19" t="inlineStr">
        <is>
          <t>큰볼기근, 뒤넙다리근육 위쪽부분</t>
        </is>
      </c>
      <c r="J6" s="19" t="inlineStr">
        <is>
          <t>궁둥신경(아래쪽에서 인접 주행)</t>
        </is>
      </c>
      <c r="K6" s="19" t="inlineStr">
        <is>
          <t>해당없음</t>
        </is>
      </c>
      <c r="L6" s="19" t="inlineStr">
        <is>
          <t>궁둥신경과 매우 인접 - 볼기부위 수술 시 함께 고려해야 할 혈관</t>
        </is>
      </c>
      <c r="M6" s="20" t="n"/>
    </row>
    <row r="7" ht="37.5" customHeight="1">
      <c r="A7" s="17" t="inlineStr">
        <is>
          <t>☐</t>
        </is>
      </c>
      <c r="B7" s="18" t="inlineStr">
        <is>
          <t>샅 동맥계</t>
        </is>
      </c>
      <c r="C7" s="19" t="inlineStr">
        <is>
          <t>속음부동맥(내음부동맥)</t>
        </is>
      </c>
      <c r="D7" s="20" t="inlineStr">
        <is>
          <t>Internal pudendal artery</t>
        </is>
      </c>
      <c r="E7" s="19" t="inlineStr">
        <is>
          <t>속엉덩동맥 앞가지</t>
        </is>
      </c>
      <c r="F7" s="19" t="inlineStr">
        <is>
          <t>궁둥구멍근 아래구멍을 나왔다가 궁둥가시를 돌아 작은궁둥구멍을 통해 샅부위(음부관, Alcock관)로 진입</t>
        </is>
      </c>
      <c r="G7" s="19" t="inlineStr">
        <is>
          <t>아래직장동맥, 회음동맥, 음경·음핵동맥(끝가지)</t>
        </is>
      </c>
      <c r="H7" s="19" t="inlineStr">
        <is>
          <t>음경(음핵)등동맥으로 끝남</t>
        </is>
      </c>
      <c r="I7" s="19" t="inlineStr">
        <is>
          <t>샅부위 전체(항문관 아래부분, 외생식기, 골반바닥근)</t>
        </is>
      </c>
      <c r="J7" s="19" t="inlineStr">
        <is>
          <t>음부신경(음부관 안에서 동반 주행)</t>
        </is>
      </c>
      <c r="K7" s="19" t="inlineStr">
        <is>
          <t>해당없음</t>
        </is>
      </c>
      <c r="L7" s="19" t="inlineStr">
        <is>
          <t>샅(회음) 부위 주 혈액공급원 - 회음열상·분만손상 시 중요, 발기부전의 혈관성 원인과 관련</t>
        </is>
      </c>
      <c r="M7" s="20" t="n"/>
    </row>
    <row r="8" ht="27.75" customHeight="1">
      <c r="A8" s="17" t="inlineStr">
        <is>
          <t>☐</t>
        </is>
      </c>
      <c r="B8" s="18" t="inlineStr">
        <is>
          <t>골반 동맥계</t>
        </is>
      </c>
      <c r="C8" s="19" t="inlineStr">
        <is>
          <t>자궁동맥</t>
        </is>
      </c>
      <c r="D8" s="20" t="inlineStr">
        <is>
          <t>Uterine artery</t>
        </is>
      </c>
      <c r="E8" s="19" t="inlineStr">
        <is>
          <t>속엉덩동맥 앞가지 (여성)</t>
        </is>
      </c>
      <c r="F8" s="19" t="inlineStr">
        <is>
          <t>골반 옆벽에서 안쪽으로 주행해 자궁목 높이에서 요관 위를 가로질러(water under the bridge) 자궁으로</t>
        </is>
      </c>
      <c r="G8" s="19" t="inlineStr">
        <is>
          <t>질가지, 자궁목가지, 난소가지, 자궁관가지</t>
        </is>
      </c>
      <c r="H8" s="19" t="inlineStr">
        <is>
          <t>난소동맥(배대동맥 기원)과 자궁각에서 문합</t>
        </is>
      </c>
      <c r="I8" s="19" t="inlineStr">
        <is>
          <t>자궁, 자궁목, 질 위부분, 자궁관·난소 일부</t>
        </is>
      </c>
      <c r="J8" s="19" t="inlineStr">
        <is>
          <t>요관(동맥 아래를 지남 — 자궁절제술 최대 주의점)</t>
        </is>
      </c>
      <c r="K8" s="19" t="inlineStr">
        <is>
          <t>해당없음</t>
        </is>
      </c>
      <c r="L8" s="19" t="inlineStr">
        <is>
          <t>'water under the bridge'(요관이 동맥 아래) — 자궁절제술 중 요관손상 회피의 핵심 해부, 산후출혈 색전술 표적</t>
        </is>
      </c>
      <c r="M8" s="20" t="n"/>
    </row>
    <row r="9" ht="27.75" customHeight="1">
      <c r="A9" s="17" t="inlineStr">
        <is>
          <t>☐</t>
        </is>
      </c>
      <c r="B9" s="18" t="inlineStr">
        <is>
          <t>골반 동맥계</t>
        </is>
      </c>
      <c r="C9" s="19" t="inlineStr">
        <is>
          <t>중간곧창자동맥</t>
        </is>
      </c>
      <c r="D9" s="20" t="inlineStr">
        <is>
          <t>Middle rectal artery</t>
        </is>
      </c>
      <c r="E9" s="19" t="inlineStr">
        <is>
          <t>속엉덩동맥 앞가지</t>
        </is>
      </c>
      <c r="F9" s="19" t="inlineStr">
        <is>
          <t>골반바닥 위를 따라 안쪽으로 주행하여 곧창자 중간부분으로</t>
        </is>
      </c>
      <c r="G9" s="19" t="inlineStr">
        <is>
          <t>곧창자벽가지, (남성)전립샘·정낭가지</t>
        </is>
      </c>
      <c r="H9" s="19" t="inlineStr">
        <is>
          <t>위곧창자동맥(IMA계)·아래곧창자동맥(속음부동맥)과 곧창자벽에서 문합</t>
        </is>
      </c>
      <c r="I9" s="20" t="inlineStr">
        <is>
          <t>곧창자 중간부분, 전립샘·정낭(남성)</t>
        </is>
      </c>
      <c r="J9" s="19" t="inlineStr">
        <is>
          <t>없음</t>
        </is>
      </c>
      <c r="K9" s="19" t="inlineStr">
        <is>
          <t>해당없음</t>
        </is>
      </c>
      <c r="L9" s="19" t="inlineStr">
        <is>
          <t>곧창자는 위(IMA)·중간(속엉덩)·아래(속음부) 3계통 문합으로 공급 — 저위전방절제술 시 혈류평가 기준</t>
        </is>
      </c>
      <c r="M9" s="20" t="n"/>
    </row>
    <row r="10" ht="27.75" customHeight="1">
      <c r="A10" s="17" t="inlineStr">
        <is>
          <t>☐</t>
        </is>
      </c>
      <c r="B10" s="18" t="inlineStr">
        <is>
          <t>골반 동맥계</t>
        </is>
      </c>
      <c r="C10" s="19" t="inlineStr">
        <is>
          <t>폐쇄동맥(폐쇄공동맥)</t>
        </is>
      </c>
      <c r="D10" s="20" t="inlineStr">
        <is>
          <t>Obturator artery</t>
        </is>
      </c>
      <c r="E10" s="19" t="inlineStr">
        <is>
          <t>속엉덩동맥 앞가지</t>
        </is>
      </c>
      <c r="F10" s="19" t="inlineStr">
        <is>
          <t>골반 옆벽을 따라 앞으로 주행하여 폐쇄구멍(폐쇄관)을 통해 넙다리 안쪽으로 나감</t>
        </is>
      </c>
      <c r="G10" s="19" t="inlineStr">
        <is>
          <t>두덩가지, 넙다리뼈머리동맥가지(소아 넙다리뼈머리 혈액공급에 중요)</t>
        </is>
      </c>
      <c r="H10" s="19" t="inlineStr">
        <is>
          <t>아래배벽동맥의 두덩가지와 문합 ("corona mortis" 변이혈관)</t>
        </is>
      </c>
      <c r="I10" s="20" t="inlineStr">
        <is>
          <t>두덩근, 모음근군, (소아)넙다리뼈머리</t>
        </is>
      </c>
      <c r="J10" s="19" t="inlineStr">
        <is>
          <t>폐쇄신경(같은 관을 통과)</t>
        </is>
      </c>
      <c r="K10" s="19" t="inlineStr">
        <is>
          <t>해당없음</t>
        </is>
      </c>
      <c r="L10" s="19" t="inlineStr">
        <is>
          <t>사타구니탈장수술 시 corona mortis 변이혈관 손상에 의한 치명적 출혈 주의부위로 유명</t>
        </is>
      </c>
      <c r="M10" s="20" t="n"/>
    </row>
    <row r="11" ht="27.75" customHeight="1">
      <c r="A11" s="17" t="inlineStr">
        <is>
          <t>☐</t>
        </is>
      </c>
      <c r="B11" s="18" t="inlineStr">
        <is>
          <t>골반 본줄기</t>
        </is>
      </c>
      <c r="C11" s="19" t="inlineStr">
        <is>
          <t>바깥엉덩동맥(외장골동맥)</t>
        </is>
      </c>
      <c r="D11" s="20" t="inlineStr">
        <is>
          <t>External iliac artery</t>
        </is>
      </c>
      <c r="E11" s="19" t="inlineStr">
        <is>
          <t>온엉덩동맥</t>
        </is>
      </c>
      <c r="F11" s="19" t="inlineStr">
        <is>
          <t>골반 안쪽벽을 따라 아래가쪽으로 주행하여 샅고랑인대 아래를 지나 넙다리동맥으로 이행</t>
        </is>
      </c>
      <c r="G11" s="19" t="inlineStr">
        <is>
          <t>아래배벽동맥, 깊은엉덩휘돌이동맥</t>
        </is>
      </c>
      <c r="H11" s="19" t="inlineStr">
        <is>
          <t>샅고랑인대 높이(넙다리혈관집 입구)에서 넙다리동맥으로 이름이 바뀜</t>
        </is>
      </c>
      <c r="I11" s="20" t="inlineStr">
        <is>
          <t>(분지를 통해) 아래배벽, 골반 앞부분</t>
        </is>
      </c>
      <c r="J11" s="19" t="inlineStr">
        <is>
          <t>바깥엉덩정맥</t>
        </is>
      </c>
      <c r="K11" s="19" t="inlineStr">
        <is>
          <t>해당없음 (깊이 위치, 샅고랑인대 바로 위)</t>
        </is>
      </c>
      <c r="L11" s="19" t="inlineStr">
        <is>
          <t>아래배벽동맥은 넙다리탈장·샅고랑탈장 감별의 해부학적 기준(직접·간접 샅고랑탈장 구분)</t>
        </is>
      </c>
      <c r="M11" s="20" t="n"/>
    </row>
  </sheetData>
  <autoFilter ref="A2:M9"/>
  <mergeCells count="1">
    <mergeCell ref="A1:M1"/>
  </mergeCells>
  <dataValidations count="1">
    <dataValidation sqref="A3:A11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5B7B1"/>
    <outlinePr summaryBelow="1" summaryRight="1"/>
    <pageSetUpPr/>
  </sheetPr>
  <dimension ref="A1:M1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5" customWidth="1" min="2" max="2"/>
    <col width="22" customWidth="1" min="3" max="3"/>
    <col width="30" customWidth="1" min="4" max="4"/>
    <col width="26" customWidth="1" min="5" max="5"/>
    <col width="34" customWidth="1" min="6" max="6"/>
    <col width="30" customWidth="1" min="7" max="8"/>
    <col width="26" customWidth="1" min="9" max="9"/>
    <col width="24" customWidth="1" min="10" max="10"/>
    <col width="26" customWidth="1" min="11" max="11"/>
    <col width="40" customWidth="1" min="12" max="12"/>
    <col width="18" customWidth="1" min="13" max="13"/>
  </cols>
  <sheetData>
    <row r="1" ht="30" customHeight="1">
      <c r="A1" s="1" t="inlineStr">
        <is>
          <t>하지 동맥계 (Lower Limb)  —  동맥 학습 체크리스트  (총 8개, 큰동맥→가지 순)</t>
        </is>
      </c>
    </row>
    <row r="2" ht="24" customHeight="1">
      <c r="A2" s="10" t="inlineStr">
        <is>
          <t>체크</t>
        </is>
      </c>
      <c r="B2" s="10" t="inlineStr">
        <is>
          <t>그룹</t>
        </is>
      </c>
      <c r="C2" s="10" t="inlineStr">
        <is>
          <t>동맥명(한글)</t>
        </is>
      </c>
      <c r="D2" s="10" t="inlineStr">
        <is>
          <t>동맥명(영문)</t>
        </is>
      </c>
      <c r="E2" s="10" t="inlineStr">
        <is>
          <t>기시</t>
        </is>
      </c>
      <c r="F2" s="10" t="inlineStr">
        <is>
          <t>주행경로</t>
        </is>
      </c>
      <c r="G2" s="10" t="inlineStr">
        <is>
          <t>주요분지</t>
        </is>
      </c>
      <c r="H2" s="10" t="inlineStr">
        <is>
          <t>문합/종말</t>
        </is>
      </c>
      <c r="I2" s="10" t="inlineStr">
        <is>
          <t>공급부위</t>
        </is>
      </c>
      <c r="J2" s="10" t="inlineStr">
        <is>
          <t>동반구조물</t>
        </is>
      </c>
      <c r="K2" s="10" t="inlineStr">
        <is>
          <t>촉진 포인트</t>
        </is>
      </c>
      <c r="L2" s="10" t="inlineStr">
        <is>
          <t>임상 포인트</t>
        </is>
      </c>
      <c r="M2" s="10" t="inlineStr">
        <is>
          <t>메모</t>
        </is>
      </c>
    </row>
    <row r="3" ht="37.5" customHeight="1">
      <c r="A3" s="17" t="inlineStr">
        <is>
          <t>☐</t>
        </is>
      </c>
      <c r="B3" s="18" t="inlineStr">
        <is>
          <t>넙다리 동맥계</t>
        </is>
      </c>
      <c r="C3" s="19" t="inlineStr">
        <is>
          <t>넙다리동맥(대퇴동맥)</t>
        </is>
      </c>
      <c r="D3" s="20" t="inlineStr">
        <is>
          <t>Femoral artery</t>
        </is>
      </c>
      <c r="E3" s="19" t="inlineStr">
        <is>
          <t>바깥엉덩동맥 (샅고랑인대 아래부터)</t>
        </is>
      </c>
      <c r="F3" s="19" t="inlineStr">
        <is>
          <t>넙다리세모(femoral triangle) 안을 지나 모음근관(Hunter관)을 통해 아래로 주행, 모음근구멍을 지나 오금동맥이 됨</t>
        </is>
      </c>
      <c r="G3" s="19" t="inlineStr">
        <is>
          <t>깊넙다리동맥, 얕은배벽동맥, 얕은엉덩휘돌이동맥, 바깥음부동맥</t>
        </is>
      </c>
      <c r="H3" s="19" t="inlineStr">
        <is>
          <t>모음근구멍을 지나 오금동맥으로 이름이 바뀜</t>
        </is>
      </c>
      <c r="I3" s="20" t="inlineStr">
        <is>
          <t>(분지를 통해) 넙다리 앞칸, 배벽 아래부분</t>
        </is>
      </c>
      <c r="J3" s="19" t="inlineStr">
        <is>
          <t>넙다리정맥(안쪽), 넙다리신경(가쪽) - 가쪽부터 신경-동맥-정맥</t>
        </is>
      </c>
      <c r="K3" s="19" t="inlineStr">
        <is>
          <t>샅고랑인대 중점(넙다리세모 꼭짓점) - 대표적 중심맥박 촉진부위</t>
        </is>
      </c>
      <c r="L3" s="19" t="inlineStr">
        <is>
          <t>심혈관조영술·스텐트삽입의 대표적 접근혈관, 관통상 시 대량출혈 위험(지혈대 적용 부위)</t>
        </is>
      </c>
      <c r="M3" s="20" t="n"/>
    </row>
    <row r="4" ht="37.5" customHeight="1">
      <c r="A4" s="17" t="inlineStr">
        <is>
          <t>☐</t>
        </is>
      </c>
      <c r="B4" s="18" t="inlineStr">
        <is>
          <t>넙다리 동맥계</t>
        </is>
      </c>
      <c r="C4" s="19" t="inlineStr">
        <is>
          <t>깊넙다리동맥(대퇴심동맥)</t>
        </is>
      </c>
      <c r="D4" s="20" t="inlineStr">
        <is>
          <t>Deep (profunda) femoris artery</t>
        </is>
      </c>
      <c r="E4" s="19" t="inlineStr">
        <is>
          <t>넙다리동맥</t>
        </is>
      </c>
      <c r="F4" s="19" t="inlineStr">
        <is>
          <t>넙다리동맥 뒤가쪽으로 갈라져 모음근들 사이로 아래로 주행</t>
        </is>
      </c>
      <c r="G4" s="19" t="inlineStr">
        <is>
          <t>안쪽·가쪽넙다리휘돌이동맥, 관통동맥(3~4개)</t>
        </is>
      </c>
      <c r="H4" s="19" t="inlineStr">
        <is>
          <t>관통동맥들이 아래볼기동맥·오금동맥 가지와 이어져 뒤넙다리 중요 측부순환로 형성</t>
        </is>
      </c>
      <c r="I4" s="19" t="inlineStr">
        <is>
          <t>넙다리 근육 대부분(넙다리네갈래근, 모음근군, 뒤넙다리근육)</t>
        </is>
      </c>
      <c r="J4" s="19" t="inlineStr">
        <is>
          <t>없음</t>
        </is>
      </c>
      <c r="K4" s="19" t="inlineStr">
        <is>
          <t>해당없음</t>
        </is>
      </c>
      <c r="L4" s="19" t="inlineStr">
        <is>
          <t>넙다리동맥 폐쇄 시 주요 측부순환 경로(관통동맥 사슬), 넙다리뼈목 골절 시 안쪽넙다리휘돌이동맥 손상→무혈성괴사 위험</t>
        </is>
      </c>
      <c r="M4" s="20" t="n"/>
    </row>
    <row r="5" ht="37.5" customHeight="1">
      <c r="A5" s="17" t="inlineStr">
        <is>
          <t>☐</t>
        </is>
      </c>
      <c r="B5" s="18" t="inlineStr">
        <is>
          <t>무릎·종아리 동맥계</t>
        </is>
      </c>
      <c r="C5" s="19" t="inlineStr">
        <is>
          <t>오금동맥(슬와동맥)</t>
        </is>
      </c>
      <c r="D5" s="20" t="inlineStr">
        <is>
          <t>Popliteal artery</t>
        </is>
      </c>
      <c r="E5" s="19" t="inlineStr">
        <is>
          <t>넙다리동맥 (모음근구멍을 지나며 이름 변경)</t>
        </is>
      </c>
      <c r="F5" s="19" t="inlineStr">
        <is>
          <t>오금(무릎 뒤오목)을 지나 아래로 주행, 오금근 아래모서리에서 앞·뒤정강동맥으로 분지</t>
        </is>
      </c>
      <c r="G5" s="19" t="inlineStr">
        <is>
          <t>위·아래무릎가지동맥들(무릎동맥그물 형성)</t>
        </is>
      </c>
      <c r="H5" s="19" t="inlineStr">
        <is>
          <t>오금근 아래모서리에서 앞정강동맥·뒤정강동맥으로 분지</t>
        </is>
      </c>
      <c r="I5" s="19" t="inlineStr">
        <is>
          <t>무릎관절(무릎동맥그물 통해), 장딴지근</t>
        </is>
      </c>
      <c r="J5" s="19" t="inlineStr">
        <is>
          <t>오금정맥, 정강신경 (신경-정맥-동맥 순, 신경이 가장 얕음)</t>
        </is>
      </c>
      <c r="K5" s="19" t="inlineStr">
        <is>
          <t>오금(무릎 뒤오목) 깊은 곳, 무릎 살짝 구부린 상태</t>
        </is>
      </c>
      <c r="L5" s="19" t="inlineStr">
        <is>
          <t>무릎뒤탈구 시 손상 흔함(좁은 공간, 견인손상 위험 높음), 오금동맥병목증후군(popliteal entrapment)</t>
        </is>
      </c>
      <c r="M5" s="20" t="n"/>
    </row>
    <row r="6" ht="27.75" customHeight="1">
      <c r="A6" s="17" t="inlineStr">
        <is>
          <t>☐</t>
        </is>
      </c>
      <c r="B6" s="18" t="inlineStr">
        <is>
          <t>종아리 동맥계</t>
        </is>
      </c>
      <c r="C6" s="19" t="inlineStr">
        <is>
          <t>앞정강동맥(전경골동맥)</t>
        </is>
      </c>
      <c r="D6" s="20" t="inlineStr">
        <is>
          <t>Anterior tibial artery</t>
        </is>
      </c>
      <c r="E6" s="19" t="inlineStr">
        <is>
          <t>오금동맥</t>
        </is>
      </c>
      <c r="F6" s="19" t="inlineStr">
        <is>
          <t>뼈사이막 위쪽 구멍을 통해 다리 앞칸으로 나와 앞칸을 따라 내려가 발등동맥이 됨</t>
        </is>
      </c>
      <c r="G6" s="19" t="inlineStr">
        <is>
          <t>앞정강되돌이동맥, 가쪽·안쪽앞복사동맥</t>
        </is>
      </c>
      <c r="H6" s="19" t="inlineStr">
        <is>
          <t>폄근지지띠 아래에서 발등동맥으로 이름이 바뀜</t>
        </is>
      </c>
      <c r="I6" s="19" t="inlineStr">
        <is>
          <t>다리 앞칸 근육(앞정강근, 긴발가락폄근 등)</t>
        </is>
      </c>
      <c r="J6" s="19" t="inlineStr">
        <is>
          <t>깊은종아리신경(동맥과 나란히 주행)</t>
        </is>
      </c>
      <c r="K6" s="19" t="inlineStr">
        <is>
          <t>발등, 긴엄지폄근힘줄 가쪽 (발등동맥 촉진부위와 연속)</t>
        </is>
      </c>
      <c r="L6" s="19" t="inlineStr">
        <is>
          <t>다리 앞칸구획증후군 시 원위부 맥박(발등동맥) 소실은 후기 소견 - 맥박 있어도 구획증후군 배제 불가</t>
        </is>
      </c>
      <c r="M6" s="20" t="n"/>
    </row>
    <row r="7" ht="27.75" customHeight="1">
      <c r="A7" s="17" t="inlineStr">
        <is>
          <t>☐</t>
        </is>
      </c>
      <c r="B7" s="18" t="inlineStr">
        <is>
          <t>종아리 동맥계</t>
        </is>
      </c>
      <c r="C7" s="19" t="inlineStr">
        <is>
          <t>뒤정강동맥(후경골동맥)</t>
        </is>
      </c>
      <c r="D7" s="20" t="inlineStr">
        <is>
          <t>Posterior tibial artery</t>
        </is>
      </c>
      <c r="E7" s="19" t="inlineStr">
        <is>
          <t>오금동맥 (끝가지 중 하나)</t>
        </is>
      </c>
      <c r="F7" s="19" t="inlineStr">
        <is>
          <t>다리 뒤칸 깊은층(가자미근 아래)을 따라 내려가 안쪽복사 뒤를 지나 발바닥으로 진입</t>
        </is>
      </c>
      <c r="G7" s="19" t="inlineStr">
        <is>
          <t>종아리동맥(가장 큰 가지), 발목단(malleolar)가지</t>
        </is>
      </c>
      <c r="H7" s="19" t="inlineStr">
        <is>
          <t>발바닥에서 안쪽·가쪽발바닥동맥으로 끝분지</t>
        </is>
      </c>
      <c r="I7" s="19" t="inlineStr">
        <is>
          <t>다리 뒤칸·가쪽칸 근육, 발바닥</t>
        </is>
      </c>
      <c r="J7" s="19" t="inlineStr">
        <is>
          <t>정강신경(동맥과 나란히 안쪽복사 뒤 통과)</t>
        </is>
      </c>
      <c r="K7" s="19" t="inlineStr">
        <is>
          <t>안쪽복사 뒤쪽 (발목맥박 확인 표준 부위)</t>
        </is>
      </c>
      <c r="L7" s="19" t="inlineStr">
        <is>
          <t>말초동맥질환(PAD) 선별 시 발등동맥과 함께 필수 촉진부위 - 당뇨발 평가의 핵심 지표</t>
        </is>
      </c>
      <c r="M7" s="20" t="n"/>
    </row>
    <row r="8" ht="27.75" customHeight="1">
      <c r="A8" s="17" t="inlineStr">
        <is>
          <t>☐</t>
        </is>
      </c>
      <c r="B8" s="18" t="inlineStr">
        <is>
          <t>종아리 동맥계</t>
        </is>
      </c>
      <c r="C8" s="19" t="inlineStr">
        <is>
          <t>종아리동맥(비골동맥)</t>
        </is>
      </c>
      <c r="D8" s="20" t="inlineStr">
        <is>
          <t>Fibular (peroneal) artery</t>
        </is>
      </c>
      <c r="E8" s="19" t="inlineStr">
        <is>
          <t>뒤정강동맥</t>
        </is>
      </c>
      <c r="F8" s="19" t="inlineStr">
        <is>
          <t>종아리뼈 안쪽을 따라 다리 가쪽칸 방향으로 내려가 가쪽복사 근처에서 끝남</t>
        </is>
      </c>
      <c r="G8" s="19" t="inlineStr">
        <is>
          <t>관통가지, 가쪽복사동맥</t>
        </is>
      </c>
      <c r="H8" s="19" t="inlineStr">
        <is>
          <t>앞·뒤정강동맥 가지들과 발목 주위에서 문합(발목동맥그물)</t>
        </is>
      </c>
      <c r="I8" s="19" t="inlineStr">
        <is>
          <t>다리 가쪽칸 근육(긴·짧은종아리근), 뒤칸 깊은근육 일부</t>
        </is>
      </c>
      <c r="J8" s="19" t="inlineStr">
        <is>
          <t>없음 (고유 동반신경 없음)</t>
        </is>
      </c>
      <c r="K8" s="19" t="inlineStr">
        <is>
          <t>해당없음 (깊이 위치)</t>
        </is>
      </c>
      <c r="L8" s="19" t="inlineStr">
        <is>
          <t>비골 이식술(fibula free flap) 시 혈관줄기로 이용(하악재건 등 재건수술 활용)</t>
        </is>
      </c>
      <c r="M8" s="20" t="n"/>
    </row>
    <row r="9" ht="27.75" customHeight="1">
      <c r="A9" s="17" t="inlineStr">
        <is>
          <t>☐</t>
        </is>
      </c>
      <c r="B9" s="18" t="inlineStr">
        <is>
          <t>발 동맥계</t>
        </is>
      </c>
      <c r="C9" s="19" t="inlineStr">
        <is>
          <t>발등동맥(족배동맥)</t>
        </is>
      </c>
      <c r="D9" s="20" t="inlineStr">
        <is>
          <t>Dorsalis pedis artery</t>
        </is>
      </c>
      <c r="E9" s="19" t="inlineStr">
        <is>
          <t>앞정강동맥 (이름 변경)</t>
        </is>
      </c>
      <c r="F9" s="19" t="inlineStr">
        <is>
          <t>발등 정중앙, 긴엄지폄근힘줄과 긴발가락폄근힘줄 사이를 따라 주행</t>
        </is>
      </c>
      <c r="G9" s="19" t="inlineStr">
        <is>
          <t>활꼴동맥, 깊은발바닥가지</t>
        </is>
      </c>
      <c r="H9" s="19" t="inlineStr">
        <is>
          <t>깊은발바닥가지가 발바닥동맥활 형성에 참여(가쪽발바닥동맥과 문합)</t>
        </is>
      </c>
      <c r="I9" s="19" t="inlineStr">
        <is>
          <t>발등, 발가락(활꼴동맥 통해)</t>
        </is>
      </c>
      <c r="J9" s="19" t="inlineStr">
        <is>
          <t>깊은종아리신경 끝가지</t>
        </is>
      </c>
      <c r="K9" s="19" t="inlineStr">
        <is>
          <t>발등 중앙, 긴엄지폄근힘줄 가쪽 (표준 말초맥박 촉진부위)</t>
        </is>
      </c>
      <c r="L9" s="19" t="inlineStr">
        <is>
          <t>말초혈관질환·당뇨발 평가 필수 촉진부위 - 선천적으로 약하거나 없는 경우도 흔함(약 10%)</t>
        </is>
      </c>
      <c r="M9" s="20" t="n"/>
    </row>
    <row r="10" ht="27.75" customHeight="1">
      <c r="A10" s="17" t="inlineStr">
        <is>
          <t>☐</t>
        </is>
      </c>
      <c r="B10" s="18" t="inlineStr">
        <is>
          <t>발 동맥계</t>
        </is>
      </c>
      <c r="C10" s="19" t="inlineStr">
        <is>
          <t>안쪽·가쪽발바닥동맥</t>
        </is>
      </c>
      <c r="D10" s="20" t="inlineStr">
        <is>
          <t>Medial &amp; lateral plantar arteries</t>
        </is>
      </c>
      <c r="E10" s="19" t="inlineStr">
        <is>
          <t>뒤정강동맥 (끝가지)</t>
        </is>
      </c>
      <c r="F10" s="19" t="inlineStr">
        <is>
          <t>발바닥으로 들어가 각각 안쪽·가쪽으로 주행, 가쪽발바닥동맥이 발바닥동맥활을 형성</t>
        </is>
      </c>
      <c r="G10" s="20" t="inlineStr">
        <is>
          <t>(가쪽) 발바닥동맥활에서 발바닥쪽손허리동맥들이 분지</t>
        </is>
      </c>
      <c r="H10" s="19" t="inlineStr">
        <is>
          <t>가쪽발바닥동맥이 발등동맥의 깊은발바닥가지와 만나 발바닥동맥활 완성</t>
        </is>
      </c>
      <c r="I10" s="19" t="inlineStr">
        <is>
          <t>발바닥 근육, 발가락(발바닥쪽)</t>
        </is>
      </c>
      <c r="J10" s="19" t="inlineStr">
        <is>
          <t>안쪽·가쪽발바닥신경</t>
        </is>
      </c>
      <c r="K10" s="19" t="inlineStr">
        <is>
          <t>해당없음 (직접 촉진 어려움)</t>
        </is>
      </c>
      <c r="L10" s="19" t="inlineStr">
        <is>
          <t>당뇨병성 발바닥 궤양의 혈류평가와 관련된 원위부 혈관</t>
        </is>
      </c>
      <c r="M10" s="20" t="n"/>
    </row>
  </sheetData>
  <autoFilter ref="A2:M10"/>
  <mergeCells count="1">
    <mergeCell ref="A1:M1"/>
  </mergeCells>
  <dataValidations count="1">
    <dataValidation sqref="A3:A10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2026-07-21T05:20:06Z</dcterms:created>
  <dcterms:modified xsi:type="dcterms:W3CDTF">2026-09-15T05:55:21Z</dcterms:modified>
  <cp:lastModifiedBy>이재환</cp:lastModifiedBy>
  <cp:revision>0</cp:revision>
</cp:coreProperties>
</file>