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00_대시보드" sheetId="1" state="visible" r:id="rId1"/>
    <sheet name="01_머리" sheetId="2" state="visible" r:id="rId2"/>
    <sheet name="02_목" sheetId="3" state="visible" r:id="rId3"/>
    <sheet name="03_등" sheetId="4" state="visible" r:id="rId4"/>
    <sheet name="04_가슴" sheetId="5" state="visible" r:id="rId5"/>
    <sheet name="05_배" sheetId="6" state="visible" r:id="rId6"/>
    <sheet name="06_어깨" sheetId="7" state="visible" r:id="rId7"/>
    <sheet name="07_위팔" sheetId="8" state="visible" r:id="rId8"/>
    <sheet name="08_아래팔" sheetId="9" state="visible" r:id="rId9"/>
    <sheet name="09_손" sheetId="10" state="visible" r:id="rId10"/>
    <sheet name="10_골반_볼기" sheetId="11" state="visible" r:id="rId11"/>
    <sheet name="11_넙다리" sheetId="12" state="visible" r:id="rId12"/>
    <sheet name="12_종아리" sheetId="13" state="visible" r:id="rId13"/>
    <sheet name="13_발" sheetId="14" state="visible" r:id="rId14"/>
  </sheets>
  <definedNames>
    <definedName name="_xlnm._FilterDatabase" localSheetId="0" hidden="1">'00_대시보드'!$A$2:$E$15</definedName>
    <definedName name="_xlnm._FilterDatabase" localSheetId="1" hidden="1">'01_머리'!$A$2:$L$16</definedName>
    <definedName name="_xlnm._FilterDatabase" localSheetId="2" hidden="1">'02_목'!$A$2:$L$16</definedName>
    <definedName name="_xlnm._FilterDatabase" localSheetId="3" hidden="1">'03_등'!$A$2:$L$16</definedName>
    <definedName name="_xlnm._FilterDatabase" localSheetId="4" hidden="1">'04_가슴'!$A$2:$L$10</definedName>
    <definedName name="_xlnm._FilterDatabase" localSheetId="5" hidden="1">'05_배'!$A$2:$L$7</definedName>
    <definedName name="_xlnm._FilterDatabase" localSheetId="6" hidden="1">'06_어깨'!$A$2:$L$9</definedName>
    <definedName name="_xlnm._FilterDatabase" localSheetId="7" hidden="1">'07_위팔'!$A$2:$L$6</definedName>
    <definedName name="_xlnm._FilterDatabase" localSheetId="8" hidden="1">'08_아래팔'!$A$2:$L$21</definedName>
    <definedName name="_xlnm._FilterDatabase" localSheetId="9" hidden="1">'09_손'!$A$2:$L$13</definedName>
    <definedName name="_xlnm._FilterDatabase" localSheetId="10" hidden="1">'10_골반_볼기'!$A$2:$L$12</definedName>
    <definedName name="_xlnm._FilterDatabase" localSheetId="11" hidden="1">'11_넙다리'!$A$2:$L$15</definedName>
    <definedName name="_xlnm._FilterDatabase" localSheetId="12" hidden="1">'12_종아리'!$A$2:$L$15</definedName>
    <definedName name="_xlnm._FilterDatabase" localSheetId="13" hidden="1">'13_발'!$A$2:$L$14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8"/>
    </font>
    <font>
      <name val="Noto Sans CJK SC"/>
      <family val="2"/>
      <b val="1"/>
      <color rgb="FFFFFFFF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Noto Sans CJK SC"/>
      <family val="2"/>
      <b val="1"/>
      <sz val="11"/>
    </font>
    <font>
      <name val="맑은 고딕"/>
      <charset val="129"/>
      <family val="3"/>
      <b val="1"/>
      <sz val="11"/>
    </font>
    <font>
      <name val="Noto Sans CJK SC"/>
      <family val="2"/>
      <i val="1"/>
      <color rgb="FF444444"/>
      <sz val="10"/>
    </font>
    <font>
      <name val="맑은 고딕"/>
      <charset val="129"/>
      <family val="3"/>
      <i val="1"/>
      <color rgb="FF444444"/>
      <sz val="10"/>
    </font>
    <font>
      <name val="Noto Sans CJK SC"/>
      <family val="2"/>
      <b val="1"/>
      <color rgb="FFFFFFFF"/>
      <sz val="16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2F5233"/>
      <sz val="13"/>
    </font>
    <font>
      <name val="Noto Sans CJK SC"/>
      <family val="2"/>
      <b val="1"/>
      <color rgb="FF1F3B1F"/>
      <sz val="10"/>
    </font>
    <font>
      <name val="Noto Sans CJK SC"/>
      <family val="2"/>
      <sz val="10"/>
    </font>
    <font>
      <name val="맑은 고딕"/>
      <charset val="129"/>
      <family val="3"/>
      <b val="1"/>
      <color rgb="FF1F3B1F"/>
      <sz val="10"/>
    </font>
    <font>
      <name val="돋움"/>
      <charset val="129"/>
      <family val="3"/>
      <sz val="8"/>
    </font>
    <font>
      <name val="Arial"/>
      <family val="2"/>
      <b val="1"/>
      <sz val="10"/>
    </font>
    <font>
      <name val="Noto Sans CJK SC"/>
      <charset val="129"/>
      <family val="3"/>
      <b val="1"/>
      <sz val="10"/>
    </font>
  </fonts>
  <fills count="18">
    <fill>
      <patternFill/>
    </fill>
    <fill>
      <patternFill patternType="gray125"/>
    </fill>
    <fill>
      <patternFill patternType="solid">
        <fgColor rgb="FF1F3B1F"/>
        <bgColor rgb="FF003300"/>
      </patternFill>
    </fill>
    <fill>
      <patternFill patternType="solid">
        <fgColor rgb="FF2F5233"/>
        <bgColor rgb="FF444444"/>
      </patternFill>
    </fill>
    <fill>
      <patternFill patternType="solid">
        <fgColor rgb="FFEAF0EA"/>
        <bgColor rgb="FFFFFFFF"/>
      </patternFill>
    </fill>
    <fill>
      <patternFill patternType="solid">
        <fgColor rgb="FFF4A6A6"/>
        <bgColor rgb="FFD6A6D6"/>
      </patternFill>
    </fill>
    <fill>
      <patternFill patternType="solid">
        <fgColor rgb="FFF4C77A"/>
        <bgColor rgb="FFE0B84A"/>
      </patternFill>
    </fill>
    <fill>
      <patternFill patternType="solid">
        <fgColor rgb="FF9ACD9A"/>
        <bgColor rgb="FF7FBF7F"/>
      </patternFill>
    </fill>
    <fill>
      <patternFill patternType="solid">
        <fgColor rgb="FF8AB6D6"/>
        <bgColor rgb="FFA6A6D6"/>
      </patternFill>
    </fill>
    <fill>
      <patternFill patternType="solid">
        <fgColor rgb="FFD6A6D6"/>
        <bgColor rgb="FFF4A6A6"/>
      </patternFill>
    </fill>
    <fill>
      <patternFill patternType="solid">
        <fgColor rgb="FFE0B84A"/>
        <bgColor rgb="FFF4C77A"/>
      </patternFill>
    </fill>
    <fill>
      <patternFill patternType="solid">
        <fgColor rgb="FFC97B5F"/>
        <bgColor rgb="FFC9915F"/>
      </patternFill>
    </fill>
    <fill>
      <patternFill patternType="solid">
        <fgColor rgb="FFC9915F"/>
        <bgColor rgb="FFC97B5F"/>
      </patternFill>
    </fill>
    <fill>
      <patternFill patternType="solid">
        <fgColor rgb="FFB08FC9"/>
        <bgColor rgb="FFA6A6D6"/>
      </patternFill>
    </fill>
    <fill>
      <patternFill patternType="solid">
        <fgColor rgb="FF6FA88A"/>
        <bgColor rgb="FF5F9EA0"/>
      </patternFill>
    </fill>
    <fill>
      <patternFill patternType="solid">
        <fgColor rgb="FF7FBF7F"/>
        <bgColor rgb="FF6FA88A"/>
      </patternFill>
    </fill>
    <fill>
      <patternFill patternType="solid">
        <fgColor rgb="FF5F9EA0"/>
        <bgColor rgb="FF6FA88A"/>
      </patternFill>
    </fill>
    <fill>
      <patternFill patternType="solid">
        <fgColor rgb="FFA6A6D6"/>
        <bgColor rgb="FFB08FC9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16" borderId="0" applyAlignment="1" pivotButton="0" quotePrefix="0" xfId="0">
      <alignment horizontal="left" vertical="center" indent="1"/>
    </xf>
    <xf numFmtId="0" fontId="10" fillId="15" borderId="0" applyAlignment="1" pivotButton="0" quotePrefix="0" xfId="0">
      <alignment horizontal="left" vertical="center" indent="1"/>
    </xf>
    <xf numFmtId="0" fontId="10" fillId="14" borderId="0" applyAlignment="1" pivotButton="0" quotePrefix="0" xfId="0">
      <alignment horizontal="left" vertical="center" indent="1"/>
    </xf>
    <xf numFmtId="0" fontId="10" fillId="13" borderId="0" applyAlignment="1" pivotButton="0" quotePrefix="0" xfId="0">
      <alignment horizontal="left" vertical="center" indent="1"/>
    </xf>
    <xf numFmtId="0" fontId="10" fillId="1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horizontal="left" vertical="center" indent="1"/>
    </xf>
    <xf numFmtId="0" fontId="10" fillId="10" borderId="0" applyAlignment="1" pivotButton="0" quotePrefix="0" xfId="0">
      <alignment horizontal="left" vertical="center" indent="1"/>
    </xf>
    <xf numFmtId="0" fontId="10" fillId="9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0" fillId="17" borderId="0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  <xf numFmtId="164" fontId="5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6FA88A"/>
      <rgbColor rgb="FFA6A6D6"/>
      <rgbColor rgb="FF993366"/>
      <rgbColor rgb="FFEAF0EA"/>
      <rgbColor rgb="FFCCFFFF"/>
      <rgbColor rgb="FF660066"/>
      <rgbColor rgb="FFC97B5F"/>
      <rgbColor rgb="FF0066CC"/>
      <rgbColor rgb="FF9ACD9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AB6D6"/>
      <rgbColor rgb="FFF4A6A6"/>
      <rgbColor rgb="FFD6A6D6"/>
      <rgbColor rgb="FFF4C77A"/>
      <rgbColor rgb="FF3366FF"/>
      <rgbColor rgb="FF33CCCC"/>
      <rgbColor rgb="FF7FBF7F"/>
      <rgbColor rgb="FFE0B84A"/>
      <rgbColor rgb="FFC9915F"/>
      <rgbColor rgb="FFFF6600"/>
      <rgbColor rgb="FF666699"/>
      <rgbColor rgb="FFB08FC9"/>
      <rgbColor rgb="FF2F5233"/>
      <rgbColor rgb="FF5F9EA0"/>
      <rgbColor rgb="FF003300"/>
      <rgbColor rgb="FF444444"/>
      <rgbColor rgb="FF993300"/>
      <rgbColor rgb="FF993366"/>
      <rgbColor rgb="FF333399"/>
      <rgbColor rgb="FF1F3B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B1F"/>
    <outlinePr summaryBelow="1" summaryRight="1"/>
    <pageSetUpPr/>
  </sheetPr>
  <dimension ref="A1:E21"/>
  <sheetViews>
    <sheetView zoomScaleNormal="100" workbookViewId="0">
      <pane ySplit="2" topLeftCell="A3" activePane="bottomLeft" state="frozen"/>
      <selection pane="bottomLeft" activeCell="B30" sqref="B30"/>
    </sheetView>
  </sheetViews>
  <sheetFormatPr baseColWidth="8" defaultColWidth="8.7109375" defaultRowHeight="15"/>
  <cols>
    <col width="22" customWidth="1" min="1" max="1"/>
    <col width="16" customWidth="1" min="2" max="2"/>
    <col width="14" customWidth="1" min="3" max="5"/>
  </cols>
  <sheetData>
    <row r="1" ht="33.75" customHeight="1">
      <c r="A1" s="14" t="inlineStr">
        <is>
          <t>근골격계 근육 학습 진행률 대시보드</t>
        </is>
      </c>
    </row>
    <row r="2" ht="21.75" customHeight="1">
      <c r="A2" s="15" t="inlineStr">
        <is>
          <t>부위</t>
        </is>
      </c>
      <c r="B2" s="15" t="inlineStr">
        <is>
          <t>전체 근육 수</t>
        </is>
      </c>
      <c r="C2" s="15" t="inlineStr">
        <is>
          <t>체크 완료</t>
        </is>
      </c>
      <c r="D2" s="15" t="inlineStr">
        <is>
          <t>미완료</t>
        </is>
      </c>
      <c r="E2" s="15" t="inlineStr">
        <is>
          <t>진행률</t>
        </is>
      </c>
    </row>
    <row r="3">
      <c r="A3" s="27" t="inlineStr">
        <is>
          <t>머리 (Head)</t>
        </is>
      </c>
      <c r="B3" s="17">
        <f>COUNTA('01_머리'!A3:A16)</f>
        <v>14</v>
      </c>
      <c r="C3" s="17">
        <f>COUNTIF('01_머리'!A3:A16,"☑")</f>
        <v>1</v>
      </c>
      <c r="D3" s="17">
        <f>B3-C3</f>
        <v>13</v>
      </c>
      <c r="E3" s="28">
        <f>IFERROR(C3/B3,0)</f>
        <v>0.07142857142857142</v>
      </c>
    </row>
    <row r="4">
      <c r="A4" s="16" t="inlineStr">
        <is>
          <t>목 (Neck)</t>
        </is>
      </c>
      <c r="B4" s="17">
        <f>COUNTA('02_목'!A3:A18)</f>
        <v>16</v>
      </c>
      <c r="C4" s="17">
        <f>COUNTIF('02_목'!A3:A18,"☑")</f>
        <v>0</v>
      </c>
      <c r="D4" s="17">
        <f>B4-C4</f>
        <v>16</v>
      </c>
      <c r="E4" s="28">
        <f>IFERROR(C4/B4,0)</f>
        <v>0.0</v>
      </c>
    </row>
    <row r="5">
      <c r="A5" s="16" t="inlineStr">
        <is>
          <t>등 (Back)</t>
        </is>
      </c>
      <c r="B5" s="17">
        <f>COUNTA('03_등'!A3:A16)</f>
        <v>14</v>
      </c>
      <c r="C5" s="17">
        <f>COUNTIF('03_등'!A3:A16,"☑")</f>
        <v>0</v>
      </c>
      <c r="D5" s="17">
        <f>B5-C5</f>
        <v>14</v>
      </c>
      <c r="E5" s="28">
        <f>IFERROR(C5/B5,0)</f>
        <v>0.0</v>
      </c>
    </row>
    <row r="6">
      <c r="A6" s="16" t="inlineStr">
        <is>
          <t>가슴 (Thorax)</t>
        </is>
      </c>
      <c r="B6" s="17">
        <f>COUNTA('04_가슴'!A3:A10)</f>
        <v>8</v>
      </c>
      <c r="C6" s="17">
        <f>COUNTIF('04_가슴'!A3:A10,"☑")</f>
        <v>0</v>
      </c>
      <c r="D6" s="17">
        <f>B6-C6</f>
        <v>8</v>
      </c>
      <c r="E6" s="28">
        <f>IFERROR(C6/B6,0)</f>
        <v>0.0</v>
      </c>
    </row>
    <row r="7">
      <c r="A7" s="16" t="inlineStr">
        <is>
          <t>배 (Abdomen)</t>
        </is>
      </c>
      <c r="B7" s="17">
        <f>COUNTA('05_배'!A3:A7)</f>
        <v>5</v>
      </c>
      <c r="C7" s="17">
        <f>COUNTIF('05_배'!A3:A7,"☑")</f>
        <v>0</v>
      </c>
      <c r="D7" s="17">
        <f>B7-C7</f>
        <v>5</v>
      </c>
      <c r="E7" s="28">
        <f>IFERROR(C7/B7,0)</f>
        <v>0.0</v>
      </c>
    </row>
    <row r="8">
      <c r="A8" s="16" t="inlineStr">
        <is>
          <t>어깨 (Shoulder)</t>
        </is>
      </c>
      <c r="B8" s="17">
        <f>COUNTA('06_어깨'!A3:A9)</f>
        <v>7</v>
      </c>
      <c r="C8" s="17">
        <f>COUNTIF('06_어깨'!A3:A9,"☑")</f>
        <v>0</v>
      </c>
      <c r="D8" s="17">
        <f>B8-C8</f>
        <v>7</v>
      </c>
      <c r="E8" s="28">
        <f>IFERROR(C8/B8,0)</f>
        <v>0.0</v>
      </c>
    </row>
    <row r="9">
      <c r="A9" s="16" t="inlineStr">
        <is>
          <t>위팔 (Arm)</t>
        </is>
      </c>
      <c r="B9" s="17">
        <f>COUNTA('07_위팔'!A3:A6)</f>
        <v>4</v>
      </c>
      <c r="C9" s="17">
        <f>COUNTIF('07_위팔'!A3:A6,"☑")</f>
        <v>0</v>
      </c>
      <c r="D9" s="17">
        <f>B9-C9</f>
        <v>4</v>
      </c>
      <c r="E9" s="28">
        <f>IFERROR(C9/B9,0)</f>
        <v>0.0</v>
      </c>
    </row>
    <row r="10">
      <c r="A10" s="16" t="inlineStr">
        <is>
          <t>아래팔 (Forearm)</t>
        </is>
      </c>
      <c r="B10" s="17">
        <f>COUNTA('08_아래팔'!A3:A21)</f>
        <v>19</v>
      </c>
      <c r="C10" s="17">
        <f>COUNTIF('08_아래팔'!A3:A21,"☑")</f>
        <v>0</v>
      </c>
      <c r="D10" s="17">
        <f>B10-C10</f>
        <v>19</v>
      </c>
      <c r="E10" s="28">
        <f>IFERROR(C10/B10,0)</f>
        <v>0.0</v>
      </c>
    </row>
    <row r="11">
      <c r="A11" s="16" t="inlineStr">
        <is>
          <t>손 (Hand)</t>
        </is>
      </c>
      <c r="B11" s="17">
        <f>COUNTA('09_손'!A3:A13)</f>
        <v>11</v>
      </c>
      <c r="C11" s="17">
        <f>COUNTIF('09_손'!A3:A13,"☑")</f>
        <v>0</v>
      </c>
      <c r="D11" s="17">
        <f>B11-C11</f>
        <v>11</v>
      </c>
      <c r="E11" s="28">
        <f>IFERROR(C11/B11,0)</f>
        <v>0.0</v>
      </c>
    </row>
    <row r="12">
      <c r="A12" s="16" t="inlineStr">
        <is>
          <t>골반·볼기 (Pelvis &amp; Gluteal)</t>
        </is>
      </c>
      <c r="B12" s="17">
        <f>COUNTA('10_골반_볼기'!A3:A15)</f>
        <v>13</v>
      </c>
      <c r="C12" s="17">
        <f>COUNTIF('10_골반_볼기'!A3:A15,"☑")</f>
        <v>0</v>
      </c>
      <c r="D12" s="17">
        <f>B12-C12</f>
        <v>13</v>
      </c>
      <c r="E12" s="28">
        <f>IFERROR(C12/B12,0)</f>
        <v>0.0</v>
      </c>
    </row>
    <row r="13">
      <c r="A13" s="16" t="inlineStr">
        <is>
          <t>넙다리 (Thigh)</t>
        </is>
      </c>
      <c r="B13" s="17">
        <f>COUNTA('11_넙다리'!A3:A15)</f>
        <v>13</v>
      </c>
      <c r="C13" s="17">
        <f>COUNTIF('11_넙다리'!A3:A15,"☑")</f>
        <v>0</v>
      </c>
      <c r="D13" s="17">
        <f>B13-C13</f>
        <v>13</v>
      </c>
      <c r="E13" s="28">
        <f>IFERROR(C13/B13,0)</f>
        <v>0.0</v>
      </c>
    </row>
    <row r="14">
      <c r="A14" s="16" t="inlineStr">
        <is>
          <t>종아리 (Leg)</t>
        </is>
      </c>
      <c r="B14" s="17">
        <f>COUNTA('12_종아리'!A3:A15)</f>
        <v>13</v>
      </c>
      <c r="C14" s="17">
        <f>COUNTIF('12_종아리'!A3:A15,"☑")</f>
        <v>0</v>
      </c>
      <c r="D14" s="17">
        <f>B14-C14</f>
        <v>13</v>
      </c>
      <c r="E14" s="28">
        <f>IFERROR(C14/B14,0)</f>
        <v>0.0</v>
      </c>
    </row>
    <row r="15">
      <c r="A15" s="16" t="inlineStr">
        <is>
          <t>발 (Foot)</t>
        </is>
      </c>
      <c r="B15" s="17">
        <f>COUNTA('13_발'!A3:A14)</f>
        <v>12</v>
      </c>
      <c r="C15" s="17">
        <f>COUNTIF('13_발'!A3:A14,"☑")</f>
        <v>0</v>
      </c>
      <c r="D15" s="17">
        <f>B15-C15</f>
        <v>12</v>
      </c>
      <c r="E15" s="28">
        <f>IFERROR(C15/B15,0)</f>
        <v>0.0</v>
      </c>
    </row>
    <row r="16" ht="21.75" customHeight="1">
      <c r="A16" s="19" t="inlineStr">
        <is>
          <t>전체 합계</t>
        </is>
      </c>
      <c r="B16" s="20">
        <f>SUM(B3:B15)</f>
        <v>149</v>
      </c>
      <c r="C16" s="20">
        <f>SUM(C3:C15)</f>
        <v>1</v>
      </c>
      <c r="D16" s="20">
        <f>SUM(D3:D15)</f>
        <v>148</v>
      </c>
      <c r="E16" s="29">
        <f>IFERROR(C16/B16,0)</f>
        <v>0.006711409395973154</v>
      </c>
    </row>
    <row r="17"/>
    <row r="18" ht="15" customHeight="1">
      <c r="A18" s="13" t="inlineStr">
        <is>
          <t>사용법
1) 각 부위 시트에서 '체크' 열 셀을 클릭하면 ☐ / ☑ 목록이 나타납니다. 학습을 마친 근육은 ☑로 표시하세요.
2) 이 대시보드는 각 시트의 체크 현황을 자동 집계합니다(수식 기반, 새로고침 불필요).
3) 그림/이미지 매칭은 별도 프로젝트로 진행 예정이며, 이 파일은 내용(기시·정지·작용·지배신경·혈액공급·촉진·임상) 학습용입니다.</t>
        </is>
      </c>
    </row>
    <row r="19"/>
    <row r="20"/>
    <row r="21"/>
  </sheetData>
  <autoFilter ref="A2:E15"/>
  <mergeCells count="2">
    <mergeCell ref="A1:E1"/>
    <mergeCell ref="A18:E2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4A6A6"/>
    <outlinePr summaryBelow="1" summaryRight="1"/>
    <pageSetUpPr/>
  </sheetPr>
  <dimension ref="A1:L16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5" sqref="B5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12" t="inlineStr">
        <is>
          <t>머리 (Head)  —  근육 학습 체크리스트  (총 14개)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☑</t>
        </is>
      </c>
      <c r="B3" s="23" t="inlineStr">
        <is>
          <t>표정근</t>
        </is>
      </c>
      <c r="C3" s="24" t="inlineStr">
        <is>
          <t>이마근(전두근)</t>
        </is>
      </c>
      <c r="D3" s="25" t="inlineStr">
        <is>
          <t>Frontalis (Occipitofrontalis, frontal belly)</t>
        </is>
      </c>
      <c r="E3" s="24" t="inlineStr">
        <is>
          <t>모상건막(galea aponeurotica)</t>
        </is>
      </c>
      <c r="F3" s="24" t="inlineStr">
        <is>
          <t>눈썹·이마 피부</t>
        </is>
      </c>
      <c r="G3" s="24" t="inlineStr">
        <is>
          <t>눈썹 올림, 이마 주름</t>
        </is>
      </c>
      <c r="H3" s="24" t="inlineStr">
        <is>
          <t>얼굴신경(CN VII) 관자가지</t>
        </is>
      </c>
      <c r="I3" s="24" t="inlineStr">
        <is>
          <t>눈확위동맥·도르래위동맥(눈동맥)</t>
        </is>
      </c>
      <c r="J3" s="24" t="inlineStr">
        <is>
          <t>이마 중앙에서 눈썹 올릴 때 촉진</t>
        </is>
      </c>
      <c r="K3" s="24" t="inlineStr">
        <is>
          <t>얼굴신경마비(벨마비) 시 이마 주름이 안 잡힘 → 중추성 마비와 감별점</t>
        </is>
      </c>
      <c r="L3" s="25" t="n"/>
    </row>
    <row r="4" ht="27.75" customHeight="1">
      <c r="A4" s="22" t="inlineStr">
        <is>
          <t>☐</t>
        </is>
      </c>
      <c r="B4" s="23" t="inlineStr">
        <is>
          <t>표정근</t>
        </is>
      </c>
      <c r="C4" s="24" t="inlineStr">
        <is>
          <t>뒤통수근</t>
        </is>
      </c>
      <c r="D4" s="25" t="inlineStr">
        <is>
          <t>Occipitalis (Occipitofrontalis, occipital belly)</t>
        </is>
      </c>
      <c r="E4" s="24" t="inlineStr">
        <is>
          <t>뒤통수뼈 위목덜미선</t>
        </is>
      </c>
      <c r="F4" s="24" t="inlineStr">
        <is>
          <t>모상건막</t>
        </is>
      </c>
      <c r="G4" s="24" t="inlineStr">
        <is>
          <t>두피를 뒤로 당김</t>
        </is>
      </c>
      <c r="H4" s="24" t="inlineStr">
        <is>
          <t>얼굴신경 뒤귓바퀴신경</t>
        </is>
      </c>
      <c r="I4" s="24" t="inlineStr">
        <is>
          <t>뒤통수동맥</t>
        </is>
      </c>
      <c r="J4" s="24" t="inlineStr">
        <is>
          <t>뒤통수뼈 위쪽에서 촉진</t>
        </is>
      </c>
      <c r="K4" s="24" t="inlineStr">
        <is>
          <t>모상건막과 함께 두피 열상 시 출혈이 심함(혈관 풍부)</t>
        </is>
      </c>
      <c r="L4" s="25" t="n"/>
    </row>
    <row r="5" ht="27.75" customHeight="1">
      <c r="A5" s="22" t="inlineStr">
        <is>
          <t>☐</t>
        </is>
      </c>
      <c r="B5" s="23" t="inlineStr">
        <is>
          <t>표정근</t>
        </is>
      </c>
      <c r="C5" s="24" t="inlineStr">
        <is>
          <t>눈둘레근</t>
        </is>
      </c>
      <c r="D5" s="25" t="inlineStr">
        <is>
          <t>Orbicularis oculi</t>
        </is>
      </c>
      <c r="E5" s="24" t="inlineStr">
        <is>
          <t>눈확 안쪽 및 눈꺼풀판</t>
        </is>
      </c>
      <c r="F5" s="24" t="inlineStr">
        <is>
          <t>눈꺼풀 피부(고리모양)</t>
        </is>
      </c>
      <c r="G5" s="24" t="inlineStr">
        <is>
          <t>눈 감기(수의적/반사적)</t>
        </is>
      </c>
      <c r="H5" s="24" t="inlineStr">
        <is>
          <t>얼굴신경 관자·광대가지</t>
        </is>
      </c>
      <c r="I5" s="24" t="inlineStr">
        <is>
          <t>눈동맥·얼굴동맥 분지</t>
        </is>
      </c>
      <c r="J5" s="24" t="inlineStr">
        <is>
          <t>눈을 꼭 감을 때 눈 주위 촉진</t>
        </is>
      </c>
      <c r="K5" s="24" t="inlineStr">
        <is>
          <t>얼굴신경마비 시 눈 감기 불가(토안) → 각막 보호 필요</t>
        </is>
      </c>
      <c r="L5" s="25" t="n"/>
    </row>
    <row r="6" ht="27.75" customHeight="1">
      <c r="A6" s="22" t="inlineStr">
        <is>
          <t>☐</t>
        </is>
      </c>
      <c r="B6" s="23" t="inlineStr">
        <is>
          <t>표정근</t>
        </is>
      </c>
      <c r="C6" s="24" t="inlineStr">
        <is>
          <t>입둘레근</t>
        </is>
      </c>
      <c r="D6" s="25" t="inlineStr">
        <is>
          <t>Orbicularis oris</t>
        </is>
      </c>
      <c r="E6" s="24" t="inlineStr">
        <is>
          <t>입 주위 여러 근육 섬유의 교차</t>
        </is>
      </c>
      <c r="F6" s="24" t="inlineStr">
        <is>
          <t>입술 점막·피부</t>
        </is>
      </c>
      <c r="G6" s="24" t="inlineStr">
        <is>
          <t>입술 다물기·오므리기(휘파람)</t>
        </is>
      </c>
      <c r="H6" s="24" t="inlineStr">
        <is>
          <t>얼굴신경 볼가지·턱모서리가지</t>
        </is>
      </c>
      <c r="I6" s="24" t="inlineStr">
        <is>
          <t>위·아래입술동맥(얼굴동맥)</t>
        </is>
      </c>
      <c r="J6" s="24" t="inlineStr">
        <is>
          <t>입술을 오므릴 때 입 주위 촉진</t>
        </is>
      </c>
      <c r="K6" s="24" t="inlineStr">
        <is>
          <t>발음(순음)·수유(빨기) 기능과 직결</t>
        </is>
      </c>
      <c r="L6" s="25" t="n"/>
    </row>
    <row r="7" ht="27.75" customHeight="1">
      <c r="A7" s="22" t="inlineStr">
        <is>
          <t>☐</t>
        </is>
      </c>
      <c r="B7" s="23" t="inlineStr">
        <is>
          <t>표정근</t>
        </is>
      </c>
      <c r="C7" s="24" t="inlineStr">
        <is>
          <t>볼근</t>
        </is>
      </c>
      <c r="D7" s="25" t="inlineStr">
        <is>
          <t>Buccinator</t>
        </is>
      </c>
      <c r="E7" s="24" t="inlineStr">
        <is>
          <t>위·아래턱뼈 어금니부위, 날개턱뼈봉선</t>
        </is>
      </c>
      <c r="F7" s="24" t="inlineStr">
        <is>
          <t>입꼬리(입둘레근과 융합)</t>
        </is>
      </c>
      <c r="G7" s="24" t="inlineStr">
        <is>
          <t>볼을 치아쪽으로 압박(씹기 보조), 취주악기 연주</t>
        </is>
      </c>
      <c r="H7" s="24" t="inlineStr">
        <is>
          <t>얼굴신경 볼가지</t>
        </is>
      </c>
      <c r="I7" s="24" t="inlineStr">
        <is>
          <t>얼굴동맥·위턱동맥</t>
        </is>
      </c>
      <c r="J7" s="24" t="inlineStr">
        <is>
          <t>볼을 부풀릴 때 안쪽에서 저항 촉진</t>
        </is>
      </c>
      <c r="K7" s="24" t="inlineStr">
        <is>
          <t>이하선관(스텐센관)이 이 근육을 뚫고 구강 내로 개통</t>
        </is>
      </c>
      <c r="L7" s="25" t="n"/>
    </row>
    <row r="8" ht="27.75" customHeight="1">
      <c r="A8" s="22" t="inlineStr">
        <is>
          <t>☐</t>
        </is>
      </c>
      <c r="B8" s="23" t="inlineStr">
        <is>
          <t>표정근</t>
        </is>
      </c>
      <c r="C8" s="24" t="inlineStr">
        <is>
          <t>큰광대근</t>
        </is>
      </c>
      <c r="D8" s="25" t="inlineStr">
        <is>
          <t>Zygomaticus major</t>
        </is>
      </c>
      <c r="E8" s="24" t="inlineStr">
        <is>
          <t>광대뼈</t>
        </is>
      </c>
      <c r="F8" s="24" t="inlineStr">
        <is>
          <t>입꼬리</t>
        </is>
      </c>
      <c r="G8" s="24" t="inlineStr">
        <is>
          <t>입꼬리를 위가쪽으로(미소)</t>
        </is>
      </c>
      <c r="H8" s="24" t="inlineStr">
        <is>
          <t>얼굴신경 광대가지</t>
        </is>
      </c>
      <c r="I8" s="24" t="inlineStr">
        <is>
          <t>얼굴동맥</t>
        </is>
      </c>
      <c r="J8" s="24" t="inlineStr">
        <is>
          <t>웃을 때 광대뼈~입꼬리 사선 촉진</t>
        </is>
      </c>
      <c r="K8" s="24" t="inlineStr">
        <is>
          <t>심미적 안면성형(미소선) 기준근</t>
        </is>
      </c>
      <c r="L8" s="25" t="n"/>
    </row>
    <row r="9" ht="27.75" customHeight="1">
      <c r="A9" s="22" t="inlineStr">
        <is>
          <t>☐</t>
        </is>
      </c>
      <c r="B9" s="23" t="inlineStr">
        <is>
          <t>표정근</t>
        </is>
      </c>
      <c r="C9" s="24" t="inlineStr">
        <is>
          <t>작은광대근</t>
        </is>
      </c>
      <c r="D9" s="25" t="inlineStr">
        <is>
          <t>Zygomaticus minor</t>
        </is>
      </c>
      <c r="E9" s="24" t="inlineStr">
        <is>
          <t>광대뼈</t>
        </is>
      </c>
      <c r="F9" s="24" t="inlineStr">
        <is>
          <t>윗입술</t>
        </is>
      </c>
      <c r="G9" s="24" t="inlineStr">
        <is>
          <t>윗입술 올림</t>
        </is>
      </c>
      <c r="H9" s="24" t="inlineStr">
        <is>
          <t>얼굴신경 광대가지</t>
        </is>
      </c>
      <c r="I9" s="24" t="inlineStr">
        <is>
          <t>얼굴동맥</t>
        </is>
      </c>
      <c r="J9" s="24" t="inlineStr">
        <is>
          <t>큰광대근 안쪽에서 촉진</t>
        </is>
      </c>
      <c r="K9" s="24" t="inlineStr">
        <is>
          <t>큰광대근과 협동, 구분 촉진은 어려움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표정근</t>
        </is>
      </c>
      <c r="C10" s="24" t="inlineStr">
        <is>
          <t>입꼬리내림근</t>
        </is>
      </c>
      <c r="D10" s="25" t="inlineStr">
        <is>
          <t>Depressor anguli oris</t>
        </is>
      </c>
      <c r="E10" s="24" t="inlineStr">
        <is>
          <t>아래턱뼈 아래모서리</t>
        </is>
      </c>
      <c r="F10" s="24" t="inlineStr">
        <is>
          <t>입꼬리</t>
        </is>
      </c>
      <c r="G10" s="24" t="inlineStr">
        <is>
          <t>입꼬리 아래로 내림(찡그림)</t>
        </is>
      </c>
      <c r="H10" s="24" t="inlineStr">
        <is>
          <t>얼굴신경 턱모서리가지</t>
        </is>
      </c>
      <c r="I10" s="24" t="inlineStr">
        <is>
          <t>아래입술동맥</t>
        </is>
      </c>
      <c r="J10" s="24" t="inlineStr">
        <is>
          <t>입꼬리 아래쪽에서 촉진</t>
        </is>
      </c>
      <c r="K10" s="24" t="inlineStr">
        <is>
          <t>얼굴신경 턱모서리가지 손상 시 입꼬리 처짐(비대칭 미소)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표정근</t>
        </is>
      </c>
      <c r="C11" s="24" t="inlineStr">
        <is>
          <t>턱끝근</t>
        </is>
      </c>
      <c r="D11" s="25" t="inlineStr">
        <is>
          <t>Mentalis</t>
        </is>
      </c>
      <c r="E11" s="24" t="inlineStr">
        <is>
          <t>아래턱뼈 앞니오목</t>
        </is>
      </c>
      <c r="F11" s="24" t="inlineStr">
        <is>
          <t>턱 피부</t>
        </is>
      </c>
      <c r="G11" s="24" t="inlineStr">
        <is>
          <t>턱 피부를 올려 입술을 내밈(뾰로통한 표정)</t>
        </is>
      </c>
      <c r="H11" s="24" t="inlineStr">
        <is>
          <t>얼굴신경 턱모서리가지</t>
        </is>
      </c>
      <c r="I11" s="24" t="inlineStr">
        <is>
          <t>아래입술동맥</t>
        </is>
      </c>
      <c r="J11" s="24" t="inlineStr">
        <is>
          <t>턱 중앙 피부에서 촉진</t>
        </is>
      </c>
      <c r="K11" s="24" t="inlineStr">
        <is>
          <t>치아교정 후 입술폐쇄 훈련 시 관여</t>
        </is>
      </c>
      <c r="L11" s="25" t="n"/>
    </row>
    <row r="12" ht="27.75" customHeight="1">
      <c r="A12" s="22" t="inlineStr">
        <is>
          <t>☐</t>
        </is>
      </c>
      <c r="B12" s="23" t="inlineStr">
        <is>
          <t>표정근</t>
        </is>
      </c>
      <c r="C12" s="24" t="inlineStr">
        <is>
          <t>넓은목근</t>
        </is>
      </c>
      <c r="D12" s="25" t="inlineStr">
        <is>
          <t>Platysma</t>
        </is>
      </c>
      <c r="E12" s="24" t="inlineStr">
        <is>
          <t>빗장뼈·어깨 부위 피부밑조직</t>
        </is>
      </c>
      <c r="F12" s="24" t="inlineStr">
        <is>
          <t>아래턱뼈 아래모서리·입 주위 피부밑</t>
        </is>
      </c>
      <c r="G12" s="24" t="inlineStr">
        <is>
          <t>목 피부를 당기고 입꼬리를 아래로</t>
        </is>
      </c>
      <c r="H12" s="24" t="inlineStr">
        <is>
          <t>얼굴신경 목가지</t>
        </is>
      </c>
      <c r="I12" s="24" t="inlineStr">
        <is>
          <t>얼굴동맥 목가지</t>
        </is>
      </c>
      <c r="J12" s="24" t="inlineStr">
        <is>
          <t>이를 악물고 목을 당길 때 목 앞쪽 표층 촉진</t>
        </is>
      </c>
      <c r="K12" s="24" t="inlineStr">
        <is>
          <t>목 피부절개 시 근육층 확인 필요(얕은 층)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씹기근</t>
        </is>
      </c>
      <c r="C13" s="24" t="inlineStr">
        <is>
          <t>관자근</t>
        </is>
      </c>
      <c r="D13" s="25" t="inlineStr">
        <is>
          <t>Temporalis</t>
        </is>
      </c>
      <c r="E13" s="24" t="inlineStr">
        <is>
          <t>관자오목(측두와)</t>
        </is>
      </c>
      <c r="F13" s="24" t="inlineStr">
        <is>
          <t>아래턱뼈 근육돌기(코로노이드돌기)</t>
        </is>
      </c>
      <c r="G13" s="24" t="inlineStr">
        <is>
          <t>입 다물기(턱 올림), 뒷섬유는 아래턱 후퇴</t>
        </is>
      </c>
      <c r="H13" s="24" t="inlineStr">
        <is>
          <t>아래턱신경(CN V3)의 깊은관자신경</t>
        </is>
      </c>
      <c r="I13" s="24" t="inlineStr">
        <is>
          <t>깊은관자동맥(위턱동맥)</t>
        </is>
      </c>
      <c r="J13" s="24" t="inlineStr">
        <is>
          <t>관자놀이에서 이 악물 때 촉진</t>
        </is>
      </c>
      <c r="K13" s="24" t="inlineStr">
        <is>
          <t>긴장성두통·측두하악관절장애(TMD)와 연관, 근막통증 유발점 호발부위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씹기근</t>
        </is>
      </c>
      <c r="C14" s="24" t="inlineStr">
        <is>
          <t>깨물근</t>
        </is>
      </c>
      <c r="D14" s="25" t="inlineStr">
        <is>
          <t>Masseter</t>
        </is>
      </c>
      <c r="E14" s="24" t="inlineStr">
        <is>
          <t>광대활</t>
        </is>
      </c>
      <c r="F14" s="24" t="inlineStr">
        <is>
          <t>아래턱뼈각·가지 가쪽면</t>
        </is>
      </c>
      <c r="G14" s="24" t="inlineStr">
        <is>
          <t>입 다물기(강력한 턱닫기)</t>
        </is>
      </c>
      <c r="H14" s="24" t="inlineStr">
        <is>
          <t>깨물근신경(아래턱신경)</t>
        </is>
      </c>
      <c r="I14" s="24" t="inlineStr">
        <is>
          <t>깨물근동맥(위턱동맥)</t>
        </is>
      </c>
      <c r="J14" s="24" t="inlineStr">
        <is>
          <t>이 악물 때 아래턱각 앞쪽에서 가장 잘 촉진</t>
        </is>
      </c>
      <c r="K14" s="24" t="inlineStr">
        <is>
          <t>이갈이·과사용 시 비대(사각턱), 보툴리눔독소 주사 표적근</t>
        </is>
      </c>
      <c r="L14" s="25" t="n"/>
    </row>
    <row r="15" ht="27.75" customHeight="1">
      <c r="A15" s="22" t="inlineStr">
        <is>
          <t>☐</t>
        </is>
      </c>
      <c r="B15" s="23" t="inlineStr">
        <is>
          <t>씹기근</t>
        </is>
      </c>
      <c r="C15" s="24" t="inlineStr">
        <is>
          <t>가쪽날개근</t>
        </is>
      </c>
      <c r="D15" s="25" t="inlineStr">
        <is>
          <t>Lateral pterygoid</t>
        </is>
      </c>
      <c r="E15" s="24" t="inlineStr">
        <is>
          <t>위머리-나비뼈큰날개, 아래머리-가쪽날개판</t>
        </is>
      </c>
      <c r="F15" s="24" t="inlineStr">
        <is>
          <t>아래턱뼈 관절목·관절원판</t>
        </is>
      </c>
      <c r="G15" s="24" t="inlineStr">
        <is>
          <t>입 벌리기, 아래턱 내밀기, 좌우 씹기운동</t>
        </is>
      </c>
      <c r="H15" s="24" t="inlineStr">
        <is>
          <t>가쪽날개근신경(아래턱신경)</t>
        </is>
      </c>
      <c r="I15" s="24" t="inlineStr">
        <is>
          <t>위턱동맥</t>
        </is>
      </c>
      <c r="J15" s="24" t="inlineStr">
        <is>
          <t>구강 내 촉진만 가능(체표 촉진 어려움)</t>
        </is>
      </c>
      <c r="K15" s="24" t="inlineStr">
        <is>
          <t>유일하게 입을 벌 때 주로 작용, TMJ 관절원판 전방전위와 밀접</t>
        </is>
      </c>
      <c r="L15" s="25" t="n"/>
    </row>
    <row r="16" ht="27.75" customHeight="1">
      <c r="A16" s="22" t="inlineStr">
        <is>
          <t>☐</t>
        </is>
      </c>
      <c r="B16" s="23" t="inlineStr">
        <is>
          <t>씹기근</t>
        </is>
      </c>
      <c r="C16" s="24" t="inlineStr">
        <is>
          <t>안쪽날개근</t>
        </is>
      </c>
      <c r="D16" s="25" t="inlineStr">
        <is>
          <t>Medial pterygoid</t>
        </is>
      </c>
      <c r="E16" s="24" t="inlineStr">
        <is>
          <t>가쪽날개판 안쪽면</t>
        </is>
      </c>
      <c r="F16" s="24" t="inlineStr">
        <is>
          <t>아래턱뼈각 안쪽면</t>
        </is>
      </c>
      <c r="G16" s="24" t="inlineStr">
        <is>
          <t>입 다물기, 아래턱 내밀기</t>
        </is>
      </c>
      <c r="H16" s="24" t="inlineStr">
        <is>
          <t>안쪽날개근신경(아래턱신경)</t>
        </is>
      </c>
      <c r="I16" s="24" t="inlineStr">
        <is>
          <t>위턱동맥</t>
        </is>
      </c>
      <c r="J16" s="24" t="inlineStr">
        <is>
          <t>아래턱각 안쪽(구강 내)에서 촉진</t>
        </is>
      </c>
      <c r="K16" s="24" t="inlineStr">
        <is>
          <t>깨물근과 함께 아래턱뼈각을 감싸는 '근육걸이(sling)' 형성</t>
        </is>
      </c>
      <c r="L16" s="25" t="n"/>
    </row>
  </sheetData>
  <autoFilter ref="A2:L16"/>
  <mergeCells count="1">
    <mergeCell ref="A1:L1"/>
  </mergeCells>
  <dataValidations count="1">
    <dataValidation sqref="A3:A16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F4C77A"/>
    <outlinePr summaryBelow="1" summaryRight="1"/>
    <pageSetUpPr/>
  </sheetPr>
  <dimension ref="A1:L1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11" t="inlineStr">
        <is>
          <t>목 (Neck)  —  근육 학습 체크리스트  (총 16개)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37.5" customHeight="1">
      <c r="A3" s="22" t="inlineStr">
        <is>
          <t>☐</t>
        </is>
      </c>
      <c r="B3" s="23" t="inlineStr">
        <is>
          <t>얕은목근</t>
        </is>
      </c>
      <c r="C3" s="24" t="inlineStr">
        <is>
          <t>목빗근</t>
        </is>
      </c>
      <c r="D3" s="25" t="inlineStr">
        <is>
          <t>Sternocleidomastoid</t>
        </is>
      </c>
      <c r="E3" s="24" t="inlineStr">
        <is>
          <t>복장뼈자루(복장갈래)·빗장뼈안쪽(빗장갈래)</t>
        </is>
      </c>
      <c r="F3" s="24" t="inlineStr">
        <is>
          <t>관자뼈 꼭지돌기·위목덜미선가쪽</t>
        </is>
      </c>
      <c r="G3" s="24" t="inlineStr">
        <is>
          <t>한쪽 수축: 반대쪽으로 얼굴 돌림+같은쪽 가쪽굽힘/ 양쪽 수축: 목 굽힘·머리 내밈</t>
        </is>
      </c>
      <c r="H3" s="24" t="inlineStr">
        <is>
          <t>더부신경(CN XI, 운동)+C2-C3(고유감각)</t>
        </is>
      </c>
      <c r="I3" s="24" t="inlineStr">
        <is>
          <t>뒤통수동맥·위갑상샘동맥 목빗근가지</t>
        </is>
      </c>
      <c r="J3" s="24" t="inlineStr">
        <is>
          <t>고개를 반대쪽으로 돌릴 때 귀뒤~빗장뼈 사선으로 뚜렷이 촉진</t>
        </is>
      </c>
      <c r="K3" s="24" t="inlineStr">
        <is>
          <t>근성사경(선천성 기운목)의 원인근, 더부신경 손상 시 근위축·어깨처짐</t>
        </is>
      </c>
      <c r="L3" s="25" t="n"/>
    </row>
    <row r="4" ht="37.5" customHeight="1">
      <c r="A4" s="22" t="inlineStr">
        <is>
          <t>☐</t>
        </is>
      </c>
      <c r="B4" s="23" t="inlineStr">
        <is>
          <t>목갈비근</t>
        </is>
      </c>
      <c r="C4" s="24" t="inlineStr">
        <is>
          <t>앞목갈비근</t>
        </is>
      </c>
      <c r="D4" s="25" t="inlineStr">
        <is>
          <t>Scalenus anterior</t>
        </is>
      </c>
      <c r="E4" s="25" t="inlineStr">
        <is>
          <t>C3-C6 가로돌기 앞결절</t>
        </is>
      </c>
      <c r="F4" s="25" t="inlineStr">
        <is>
          <t>1번갈비뼈 목갈비근결절</t>
        </is>
      </c>
      <c r="G4" s="24" t="inlineStr">
        <is>
          <t>목 가쪽굽힘, 흡기 시 1번갈비뼈 올림</t>
        </is>
      </c>
      <c r="H4" s="25" t="inlineStr">
        <is>
          <t>C4-C6</t>
        </is>
      </c>
      <c r="I4" s="24" t="inlineStr">
        <is>
          <t>아래갑상샘동맥</t>
        </is>
      </c>
      <c r="J4" s="24" t="inlineStr">
        <is>
          <t>목빗근 뒤가쪽 깊은 곳(직접 촉진 어려움)</t>
        </is>
      </c>
      <c r="K4" s="24" t="inlineStr">
        <is>
          <t>목갈비근증후군(흉곽출구증후군)의 주요 압박 구조물, 앞·중간목갈비근 사이로 팔신경얼기·빗장밑동맥 통과</t>
        </is>
      </c>
      <c r="L4" s="25" t="n"/>
    </row>
    <row r="5" ht="27.75" customHeight="1">
      <c r="A5" s="22" t="inlineStr">
        <is>
          <t>☐</t>
        </is>
      </c>
      <c r="B5" s="23" t="inlineStr">
        <is>
          <t>목갈비근</t>
        </is>
      </c>
      <c r="C5" s="24" t="inlineStr">
        <is>
          <t>중간목갈비근</t>
        </is>
      </c>
      <c r="D5" s="25" t="inlineStr">
        <is>
          <t>Scalenus medius</t>
        </is>
      </c>
      <c r="E5" s="25" t="inlineStr">
        <is>
          <t>C2-C7 가로돌기</t>
        </is>
      </c>
      <c r="F5" s="25" t="inlineStr">
        <is>
          <t>1번갈비뼈(빗장밑동맥고랑 뒤쪽)</t>
        </is>
      </c>
      <c r="G5" s="24" t="inlineStr">
        <is>
          <t>목 가쪽굽힘, 1번갈비뼈 올림</t>
        </is>
      </c>
      <c r="H5" s="25" t="inlineStr">
        <is>
          <t>C3-C8</t>
        </is>
      </c>
      <c r="I5" s="24" t="inlineStr">
        <is>
          <t>목갈비동맥</t>
        </is>
      </c>
      <c r="J5" s="24" t="inlineStr">
        <is>
          <t>목빗근 뒤쪽 깊은 곳</t>
        </is>
      </c>
      <c r="K5" s="24" t="inlineStr">
        <is>
          <t>목갈비근 중 가장 큼, 긴가슴신경이 이 근육을 뚫고 지나감</t>
        </is>
      </c>
      <c r="L5" s="25" t="n"/>
    </row>
    <row r="6" ht="27.75" customHeight="1">
      <c r="A6" s="22" t="inlineStr">
        <is>
          <t>☐</t>
        </is>
      </c>
      <c r="B6" s="23" t="inlineStr">
        <is>
          <t>목갈비근</t>
        </is>
      </c>
      <c r="C6" s="24" t="inlineStr">
        <is>
          <t>뒤목갈비근</t>
        </is>
      </c>
      <c r="D6" s="25" t="inlineStr">
        <is>
          <t>Scalenus posterior</t>
        </is>
      </c>
      <c r="E6" s="25" t="inlineStr">
        <is>
          <t>C4-C6 가로돌기</t>
        </is>
      </c>
      <c r="F6" s="25" t="inlineStr">
        <is>
          <t>2번갈비뼈</t>
        </is>
      </c>
      <c r="G6" s="25" t="inlineStr">
        <is>
          <t>2번갈비뼈 올림, 목 가쪽굽힘</t>
        </is>
      </c>
      <c r="H6" s="25" t="inlineStr">
        <is>
          <t>C6-C8</t>
        </is>
      </c>
      <c r="I6" s="24" t="inlineStr">
        <is>
          <t>목갈비동맥</t>
        </is>
      </c>
      <c r="J6" s="24" t="inlineStr">
        <is>
          <t>중간목갈비근 뒤쪽 깊은 곳</t>
        </is>
      </c>
      <c r="K6" s="24" t="inlineStr">
        <is>
          <t>세 목갈비근 중 가장 작고 촉진이 가장 어려움</t>
        </is>
      </c>
      <c r="L6" s="25" t="n"/>
    </row>
    <row r="7" ht="27.75" customHeight="1">
      <c r="A7" s="22" t="inlineStr">
        <is>
          <t>☐</t>
        </is>
      </c>
      <c r="B7" s="23" t="inlineStr">
        <is>
          <t>목뿔위근</t>
        </is>
      </c>
      <c r="C7" s="24" t="inlineStr">
        <is>
          <t>턱목뿔근</t>
        </is>
      </c>
      <c r="D7" s="25" t="inlineStr">
        <is>
          <t>Mylohyoid</t>
        </is>
      </c>
      <c r="E7" s="24" t="inlineStr">
        <is>
          <t>아래턱뼈 턱목뿔근선</t>
        </is>
      </c>
      <c r="F7" s="24" t="inlineStr">
        <is>
          <t>목뿔뼈체·정중솔기</t>
        </is>
      </c>
      <c r="G7" s="24" t="inlineStr">
        <is>
          <t>입바닥(구강저) 올림, 목뿔뼈 올림(삼킴 시)</t>
        </is>
      </c>
      <c r="H7" s="24" t="inlineStr">
        <is>
          <t>아래턱신경의 턱목뿔근신경</t>
        </is>
      </c>
      <c r="I7" s="24" t="inlineStr">
        <is>
          <t>턱밑동맥</t>
        </is>
      </c>
      <c r="J7" s="24" t="inlineStr">
        <is>
          <t>턱 아래 정중선에서 삼킬 때 촉진</t>
        </is>
      </c>
      <c r="K7" s="24" t="inlineStr">
        <is>
          <t>구강저를 이루는 '가로막' 역할, 삼킴장애 평가 시 중요</t>
        </is>
      </c>
      <c r="L7" s="25" t="n"/>
    </row>
    <row r="8" ht="27.75" customHeight="1">
      <c r="A8" s="22" t="inlineStr">
        <is>
          <t>☐</t>
        </is>
      </c>
      <c r="B8" s="23" t="inlineStr">
        <is>
          <t>목뿔위근</t>
        </is>
      </c>
      <c r="C8" s="24" t="inlineStr">
        <is>
          <t>턱끝목뿔근</t>
        </is>
      </c>
      <c r="D8" s="25" t="inlineStr">
        <is>
          <t>Geniohyoid</t>
        </is>
      </c>
      <c r="E8" s="24" t="inlineStr">
        <is>
          <t>아래턱뼈 턱끝가시</t>
        </is>
      </c>
      <c r="F8" s="24" t="inlineStr">
        <is>
          <t>목뿔뼈체</t>
        </is>
      </c>
      <c r="G8" s="24" t="inlineStr">
        <is>
          <t>목뿔뼈를 앞위쪽으로 당김</t>
        </is>
      </c>
      <c r="H8" s="25" t="inlineStr">
        <is>
          <t>C1(혀밑신경을 통해 주행)</t>
        </is>
      </c>
      <c r="I8" s="24" t="inlineStr">
        <is>
          <t>혀동맥</t>
        </is>
      </c>
      <c r="J8" s="24" t="inlineStr">
        <is>
          <t>턱목뿔근 심층(체표 촉진 어려움)</t>
        </is>
      </c>
      <c r="K8" s="24" t="inlineStr">
        <is>
          <t>삼킴·기도 확보(수면무호흡 관련 근긴장 저하 시 문제)</t>
        </is>
      </c>
      <c r="L8" s="25" t="n"/>
    </row>
    <row r="9" ht="27.75" customHeight="1">
      <c r="A9" s="22" t="inlineStr">
        <is>
          <t>☐</t>
        </is>
      </c>
      <c r="B9" s="23" t="inlineStr">
        <is>
          <t>목뿔위근</t>
        </is>
      </c>
      <c r="C9" s="24" t="inlineStr">
        <is>
          <t>두힘살근</t>
        </is>
      </c>
      <c r="D9" s="25" t="inlineStr">
        <is>
          <t>Digastric</t>
        </is>
      </c>
      <c r="E9" s="24" t="inlineStr">
        <is>
          <t>앞배-아래턱뼈 두힘살근오목 / 뒤배-꼭지패임</t>
        </is>
      </c>
      <c r="F9" s="24" t="inlineStr">
        <is>
          <t>중간널힘줄(목뿔뼈에 고리형 고정)</t>
        </is>
      </c>
      <c r="G9" s="24" t="inlineStr">
        <is>
          <t>입 벌림, 목뿔뼈 올림(삼킴)</t>
        </is>
      </c>
      <c r="H9" s="24" t="inlineStr">
        <is>
          <t>앞배-턱목뿔근신경(CNV3) / 뒤배-얼굴신경(CNVII)</t>
        </is>
      </c>
      <c r="I9" s="24" t="inlineStr">
        <is>
          <t>턱밑동맥·뒤귓바퀴동맥</t>
        </is>
      </c>
      <c r="J9" s="24" t="inlineStr">
        <is>
          <t>턱 아래(앞배)와 귀 뒤 아래(뒤배) 두 지점에서 촉진</t>
        </is>
      </c>
      <c r="K9" s="24" t="inlineStr">
        <is>
          <t>악하삼각의 경계를 이루는 랜드마크근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목뿔위근</t>
        </is>
      </c>
      <c r="C10" s="24" t="inlineStr">
        <is>
          <t>붓목뿔근</t>
        </is>
      </c>
      <c r="D10" s="25" t="inlineStr">
        <is>
          <t>Stylohyoid</t>
        </is>
      </c>
      <c r="E10" s="24" t="inlineStr">
        <is>
          <t>붓돌기</t>
        </is>
      </c>
      <c r="F10" s="24" t="inlineStr">
        <is>
          <t>목뿔뼈체</t>
        </is>
      </c>
      <c r="G10" s="24" t="inlineStr">
        <is>
          <t>목뿔뼈를 올리고 뒤로 당김</t>
        </is>
      </c>
      <c r="H10" s="24" t="inlineStr">
        <is>
          <t>얼굴신경</t>
        </is>
      </c>
      <c r="I10" s="24" t="inlineStr">
        <is>
          <t>얼굴동맥</t>
        </is>
      </c>
      <c r="J10" s="24" t="inlineStr">
        <is>
          <t>두힘살근 뒤배와 나란히 촉진</t>
        </is>
      </c>
      <c r="K10" s="24" t="inlineStr">
        <is>
          <t>두힘살근 뒤배와 함께 주행, 얼굴신경경부가지 손상 시 영향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목뿔아래근</t>
        </is>
      </c>
      <c r="C11" s="24" t="inlineStr">
        <is>
          <t>어깨목뿔근</t>
        </is>
      </c>
      <c r="D11" s="25" t="inlineStr">
        <is>
          <t>Omohyoid</t>
        </is>
      </c>
      <c r="E11" s="24" t="inlineStr">
        <is>
          <t>어깨뼈 위모서리(어깨뼈패임 부근)</t>
        </is>
      </c>
      <c r="F11" s="24" t="inlineStr">
        <is>
          <t>목뿔뼈체</t>
        </is>
      </c>
      <c r="G11" s="24" t="inlineStr">
        <is>
          <t>목뿔뼈 내림·고정</t>
        </is>
      </c>
      <c r="H11" s="24" t="inlineStr">
        <is>
          <t>목신경고리(ansa cervicalis, C1-C3)</t>
        </is>
      </c>
      <c r="I11" s="24" t="inlineStr">
        <is>
          <t>아래갑상샘동맥</t>
        </is>
      </c>
      <c r="J11" s="24" t="inlineStr">
        <is>
          <t>목빗근 아래쪽 가로지르는 얕은 힘줄로 촉진 가능</t>
        </is>
      </c>
      <c r="K11" s="24" t="inlineStr">
        <is>
          <t>중간널힘줄이 목빗근집에 고정되어 목 표면에 얕은 고랑을 만듦</t>
        </is>
      </c>
      <c r="L11" s="25" t="n"/>
    </row>
    <row r="12" ht="27.75" customHeight="1">
      <c r="A12" s="22" t="inlineStr">
        <is>
          <t>☐</t>
        </is>
      </c>
      <c r="B12" s="23" t="inlineStr">
        <is>
          <t>목뿔아래근</t>
        </is>
      </c>
      <c r="C12" s="24" t="inlineStr">
        <is>
          <t>복장목뿔근</t>
        </is>
      </c>
      <c r="D12" s="25" t="inlineStr">
        <is>
          <t>Sternohyoid</t>
        </is>
      </c>
      <c r="E12" s="24" t="inlineStr">
        <is>
          <t>복장뼈자루·빗장뼈 안쪽끝</t>
        </is>
      </c>
      <c r="F12" s="24" t="inlineStr">
        <is>
          <t>목뿔뼈체</t>
        </is>
      </c>
      <c r="G12" s="24" t="inlineStr">
        <is>
          <t>목뿔뼈 내림</t>
        </is>
      </c>
      <c r="H12" s="24" t="inlineStr">
        <is>
          <t>목신경고리(C1-C3)</t>
        </is>
      </c>
      <c r="I12" s="24" t="inlineStr">
        <is>
          <t>위갑상샘동맥</t>
        </is>
      </c>
      <c r="J12" s="24" t="inlineStr">
        <is>
          <t>목 정중선 앞쪽에서 삼킬 때 촉진</t>
        </is>
      </c>
      <c r="K12" s="24" t="inlineStr">
        <is>
          <t>갑상샘 수술 시 정중선 접근 지표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목뿔아래근</t>
        </is>
      </c>
      <c r="C13" s="24" t="inlineStr">
        <is>
          <t>복장갑상근</t>
        </is>
      </c>
      <c r="D13" s="25" t="inlineStr">
        <is>
          <t>Sternothyroid</t>
        </is>
      </c>
      <c r="E13" s="24" t="inlineStr">
        <is>
          <t>복장뼈자루(안쪽면)</t>
        </is>
      </c>
      <c r="F13" s="24" t="inlineStr">
        <is>
          <t>갑상연골 빗선</t>
        </is>
      </c>
      <c r="G13" s="24" t="inlineStr">
        <is>
          <t>후두(갑상연골) 내림</t>
        </is>
      </c>
      <c r="H13" s="24" t="inlineStr">
        <is>
          <t>목신경고리(C2-C3)</t>
        </is>
      </c>
      <c r="I13" s="24" t="inlineStr">
        <is>
          <t>위갑상샘동맥</t>
        </is>
      </c>
      <c r="J13" s="24" t="inlineStr">
        <is>
          <t>복장목뿔근 심층(직접 촉진 어려움)</t>
        </is>
      </c>
      <c r="K13" s="24" t="inlineStr">
        <is>
          <t>갑상샘을 덮고 있어 갑상샘절제술 시 반드시 확인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목뿔아래근</t>
        </is>
      </c>
      <c r="C14" s="24" t="inlineStr">
        <is>
          <t>갑상목뿔근</t>
        </is>
      </c>
      <c r="D14" s="25" t="inlineStr">
        <is>
          <t>Thyrohyoid</t>
        </is>
      </c>
      <c r="E14" s="24" t="inlineStr">
        <is>
          <t>갑상연골 빗선</t>
        </is>
      </c>
      <c r="F14" s="24" t="inlineStr">
        <is>
          <t>목뿔뼈체 아래모서리</t>
        </is>
      </c>
      <c r="G14" s="24" t="inlineStr">
        <is>
          <t>목뿔뼈 내림 또는 후두 올림</t>
        </is>
      </c>
      <c r="H14" s="25" t="inlineStr">
        <is>
          <t>C1(혀밑신경을 통해 주행)</t>
        </is>
      </c>
      <c r="I14" s="24" t="inlineStr">
        <is>
          <t>위갑상샘동맥</t>
        </is>
      </c>
      <c r="J14" s="24" t="inlineStr">
        <is>
          <t>갑상연골~목뿔뼈 사이에서 촉진</t>
        </is>
      </c>
      <c r="K14" s="24" t="inlineStr">
        <is>
          <t>복장갑상근의 연속선상에 위치, 삼킴 시 후두 거상에 관여</t>
        </is>
      </c>
      <c r="L14" s="25" t="n"/>
    </row>
    <row r="15" ht="27.75" customHeight="1">
      <c r="A15" s="22" t="inlineStr">
        <is>
          <t>☐</t>
        </is>
      </c>
      <c r="B15" s="23" t="inlineStr">
        <is>
          <t>척추앞근</t>
        </is>
      </c>
      <c r="C15" s="24" t="inlineStr">
        <is>
          <t>긴목근</t>
        </is>
      </c>
      <c r="D15" s="25" t="inlineStr">
        <is>
          <t>Longus colli</t>
        </is>
      </c>
      <c r="E15" s="24" t="inlineStr">
        <is>
          <t>C3-T3 척추몸통·가로돌기</t>
        </is>
      </c>
      <c r="F15" s="24" t="inlineStr">
        <is>
          <t>C1-C6 척추몸통·가로돌기 앞결절</t>
        </is>
      </c>
      <c r="G15" s="24" t="inlineStr">
        <is>
          <t>목뼈 굽힘, 가쪽굽힘·회전 미세조절</t>
        </is>
      </c>
      <c r="H15" s="24" t="inlineStr">
        <is>
          <t>목신경 앞가지(C2-C6)</t>
        </is>
      </c>
      <c r="I15" s="24" t="inlineStr">
        <is>
          <t>오름목동맥·척추동맥</t>
        </is>
      </c>
      <c r="J15" s="24" t="inlineStr">
        <is>
          <t>인두 뒤 깊은층(체표 촉진 불가)</t>
        </is>
      </c>
      <c r="K15" s="24" t="inlineStr">
        <is>
          <t>인두뒤농양·경추 과신전손상(편타손상) 시 부종·혈종 호발부위</t>
        </is>
      </c>
      <c r="L15" s="25" t="n"/>
    </row>
    <row r="16" ht="27.75" customHeight="1">
      <c r="A16" s="22" t="inlineStr">
        <is>
          <t>☐</t>
        </is>
      </c>
      <c r="B16" s="23" t="inlineStr">
        <is>
          <t>척추앞근</t>
        </is>
      </c>
      <c r="C16" s="24" t="inlineStr">
        <is>
          <t>긴머리근</t>
        </is>
      </c>
      <c r="D16" s="25" t="inlineStr">
        <is>
          <t>Longus capitis</t>
        </is>
      </c>
      <c r="E16" s="25" t="inlineStr">
        <is>
          <t>C3-C6 가로돌기 앞결절</t>
        </is>
      </c>
      <c r="F16" s="25" t="inlineStr">
        <is>
          <t>뒤통수뼈 바닥부(기저부) 아래면</t>
        </is>
      </c>
      <c r="G16" s="24" t="inlineStr">
        <is>
          <t>머리 굽힘</t>
        </is>
      </c>
      <c r="H16" s="24" t="inlineStr">
        <is>
          <t>목신경 앞가지(C1-C3)</t>
        </is>
      </c>
      <c r="I16" s="24" t="inlineStr">
        <is>
          <t>오름목동맥</t>
        </is>
      </c>
      <c r="J16" s="24" t="inlineStr">
        <is>
          <t>긴목근과 함께 깊은층(촉진 불가)</t>
        </is>
      </c>
      <c r="K16" s="24" t="inlineStr">
        <is>
          <t>머리 굽힘의 심부 안정화근 — 전방머리자세(forward head posture) 재활 표적근</t>
        </is>
      </c>
      <c r="L16" s="25" t="n"/>
    </row>
    <row r="17" ht="37.5" customHeight="1">
      <c r="A17" s="22" t="inlineStr">
        <is>
          <t>☐</t>
        </is>
      </c>
      <c r="B17" s="23" t="inlineStr">
        <is>
          <t>등쪽목근</t>
        </is>
      </c>
      <c r="C17" s="24" t="inlineStr">
        <is>
          <t>머리널판근</t>
        </is>
      </c>
      <c r="D17" s="25" t="inlineStr">
        <is>
          <t>Splenius capitis</t>
        </is>
      </c>
      <c r="E17" s="24" t="inlineStr">
        <is>
          <t>목덜미인대, C7-T3/4 가시돌기</t>
        </is>
      </c>
      <c r="F17" s="24" t="inlineStr">
        <is>
          <t>관자뼈 꼭지돌기·위목덜미선가쪽</t>
        </is>
      </c>
      <c r="G17" s="24" t="inlineStr">
        <is>
          <t>머리 폄, 같은쪽 회전(한쪽수축)</t>
        </is>
      </c>
      <c r="H17" s="24" t="inlineStr">
        <is>
          <t>목신경 뒤가지(C3-C6)</t>
        </is>
      </c>
      <c r="I17" s="24" t="inlineStr">
        <is>
          <t>뒤통수동맥</t>
        </is>
      </c>
      <c r="J17" s="24" t="inlineStr">
        <is>
          <t>목빗근과 등세모근 사이 삼각형(후경삼각)에서 촉진</t>
        </is>
      </c>
      <c r="K17" s="24" t="inlineStr">
        <is>
          <t>만성 목결림·긴장성두통의 흔한 근막통증 유발점 부위</t>
        </is>
      </c>
      <c r="L17" s="25" t="n"/>
    </row>
    <row r="18" ht="37.5" customHeight="1">
      <c r="A18" s="22" t="inlineStr">
        <is>
          <t>☐</t>
        </is>
      </c>
      <c r="B18" s="23" t="inlineStr">
        <is>
          <t>등쪽목근</t>
        </is>
      </c>
      <c r="C18" s="24" t="inlineStr">
        <is>
          <t>목널판근</t>
        </is>
      </c>
      <c r="D18" s="25" t="inlineStr">
        <is>
          <t>Splenius cervicis</t>
        </is>
      </c>
      <c r="E18" s="24" t="inlineStr">
        <is>
          <t>T3-T6 가시돌기</t>
        </is>
      </c>
      <c r="F18" s="24" t="inlineStr">
        <is>
          <t>C1-C3 가로돌기</t>
        </is>
      </c>
      <c r="G18" s="24" t="inlineStr">
        <is>
          <t>목 폄, 같은쪽 회전</t>
        </is>
      </c>
      <c r="H18" s="24" t="inlineStr">
        <is>
          <t>목신경 뒤가지</t>
        </is>
      </c>
      <c r="I18" s="24" t="inlineStr">
        <is>
          <t>뒤목갈비동맥·뒤통수동맥</t>
        </is>
      </c>
      <c r="J18" s="24" t="inlineStr">
        <is>
          <t>머리널판근 심층(직접 촉진 어려움)</t>
        </is>
      </c>
      <c r="K18" s="24" t="inlineStr">
        <is>
          <t>머리널판근과 협동, 상부 교차증후군에서 단축되기 쉬움</t>
        </is>
      </c>
      <c r="L18" s="25" t="n"/>
    </row>
  </sheetData>
  <autoFilter ref="A2:L16"/>
  <mergeCells count="1">
    <mergeCell ref="A1:L1"/>
  </mergeCells>
  <dataValidations count="1">
    <dataValidation sqref="A3:A18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9ACD9A"/>
    <outlinePr summaryBelow="1" summaryRight="1"/>
    <pageSetUpPr/>
  </sheetPr>
  <dimension ref="A1:L1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10" t="inlineStr">
        <is>
          <t>등 (Back)  —  근육 학습 체크리스트  (총 14개)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표층(사지연결근)</t>
        </is>
      </c>
      <c r="C3" s="24" t="inlineStr">
        <is>
          <t>등세모근</t>
        </is>
      </c>
      <c r="D3" s="25" t="inlineStr">
        <is>
          <t>Trapezius</t>
        </is>
      </c>
      <c r="E3" s="24" t="inlineStr">
        <is>
          <t>위목덜미선·바깥뒤통수뼈융기·목덜미인대·C7-T12 가시돌기</t>
        </is>
      </c>
      <c r="F3" s="24" t="inlineStr">
        <is>
          <t>빗장뼈가쪽1/3·어깨뼈봉우리·어깨뼈가시</t>
        </is>
      </c>
      <c r="G3" s="24" t="inlineStr">
        <is>
          <t>위섬유-어깨뼈 거상, 중간섬유-모음, 아래섬유-하강, 전체-위쪽돌림</t>
        </is>
      </c>
      <c r="H3" s="24" t="inlineStr">
        <is>
          <t>더부신경(CN XI, 운동)+C3-C4(고유감각)</t>
        </is>
      </c>
      <c r="I3" s="24" t="inlineStr">
        <is>
          <t>가로목동맥·등쪽어깨동맥</t>
        </is>
      </c>
      <c r="J3" s="24" t="inlineStr">
        <is>
          <t>어깨를 으쓱할 때 목~어깨 전체 윤곽 촉진</t>
        </is>
      </c>
      <c r="K3" s="24" t="inlineStr">
        <is>
          <t>더부신경 손상 시 날개어깨뼈(외측), 상부승모근은 긴장성두통 대표 유발점</t>
        </is>
      </c>
      <c r="L3" s="25" t="n"/>
    </row>
    <row r="4" ht="27.75" customHeight="1">
      <c r="A4" s="22" t="inlineStr">
        <is>
          <t>☐</t>
        </is>
      </c>
      <c r="B4" s="23" t="inlineStr">
        <is>
          <t>표층(사지연결근)</t>
        </is>
      </c>
      <c r="C4" s="24" t="inlineStr">
        <is>
          <t>넓은등근</t>
        </is>
      </c>
      <c r="D4" s="25" t="inlineStr">
        <is>
          <t>Latissimus dorsi</t>
        </is>
      </c>
      <c r="E4" s="25" t="inlineStr">
        <is>
          <t>T7-L5 가시돌기·등허리널힘줄·엉치뼈·엉덩뼈능선·아래갈비뼈</t>
        </is>
      </c>
      <c r="F4" s="24" t="inlineStr">
        <is>
          <t>위팔뼈 결절사이고랑(바닥)</t>
        </is>
      </c>
      <c r="G4" s="24" t="inlineStr">
        <is>
          <t>위팔 모음·폄·안쪽돌림(당기기, 턱걸이 동작)</t>
        </is>
      </c>
      <c r="H4" s="24" t="inlineStr">
        <is>
          <t>가슴등신경(흉배신경, C6-C8)</t>
        </is>
      </c>
      <c r="I4" s="24" t="inlineStr">
        <is>
          <t>가슴등동맥</t>
        </is>
      </c>
      <c r="J4" s="24" t="inlineStr">
        <is>
          <t>겨드랑이 뒤벽에서 팔을 뒤로 당길 때 촉진</t>
        </is>
      </c>
      <c r="K4" s="24" t="inlineStr">
        <is>
          <t>겨드랑 뒤벽(posterior wall)을 형성, 유리피판(등근피판) 재건수술에 흔히 이용</t>
        </is>
      </c>
      <c r="L4" s="25" t="n"/>
    </row>
    <row r="5" ht="27.75" customHeight="1">
      <c r="A5" s="22" t="inlineStr">
        <is>
          <t>☐</t>
        </is>
      </c>
      <c r="B5" s="23" t="inlineStr">
        <is>
          <t>표층(사지연결근)</t>
        </is>
      </c>
      <c r="C5" s="24" t="inlineStr">
        <is>
          <t>어깨올림근</t>
        </is>
      </c>
      <c r="D5" s="25" t="inlineStr">
        <is>
          <t>Levator scapulae</t>
        </is>
      </c>
      <c r="E5" s="25" t="inlineStr">
        <is>
          <t>C1-C4 가로돌기</t>
        </is>
      </c>
      <c r="F5" s="24" t="inlineStr">
        <is>
          <t>어깨뼈 위각</t>
        </is>
      </c>
      <c r="G5" s="24" t="inlineStr">
        <is>
          <t>어깨뼈 거상, 아래쪽돌림</t>
        </is>
      </c>
      <c r="H5" s="24" t="inlineStr">
        <is>
          <t>어깨등신경(견갑배신경, C4-C5)+C3-C4</t>
        </is>
      </c>
      <c r="I5" s="24" t="inlineStr">
        <is>
          <t>어깨등동맥</t>
        </is>
      </c>
      <c r="J5" s="24" t="inlineStr">
        <is>
          <t>목~어깨뼈위각 사이 등세모근 깊은층에서 촉진</t>
        </is>
      </c>
      <c r="K5" s="25" t="inlineStr">
        <is>
          <t>'뻣뻣한 목' 통증의 흔한 원인, 상부교차증후군에서 단축</t>
        </is>
      </c>
      <c r="L5" s="25" t="n"/>
    </row>
    <row r="6" ht="27.75" customHeight="1">
      <c r="A6" s="22" t="inlineStr">
        <is>
          <t>☐</t>
        </is>
      </c>
      <c r="B6" s="23" t="inlineStr">
        <is>
          <t>표층(사지연결근)</t>
        </is>
      </c>
      <c r="C6" s="24" t="inlineStr">
        <is>
          <t>큰마름근</t>
        </is>
      </c>
      <c r="D6" s="25" t="inlineStr">
        <is>
          <t>Rhomboid major</t>
        </is>
      </c>
      <c r="E6" s="25" t="inlineStr">
        <is>
          <t>T2-T5 가시돌기</t>
        </is>
      </c>
      <c r="F6" s="24" t="inlineStr">
        <is>
          <t>어깨뼈 안쪽모서리(가시 아래쪽)</t>
        </is>
      </c>
      <c r="G6" s="24" t="inlineStr">
        <is>
          <t>어깨뼈 모음·거상·아래쪽돌림</t>
        </is>
      </c>
      <c r="H6" s="24" t="inlineStr">
        <is>
          <t>어깨등신경(C4-C5)</t>
        </is>
      </c>
      <c r="I6" s="24" t="inlineStr">
        <is>
          <t>어깨등동맥</t>
        </is>
      </c>
      <c r="J6" s="24" t="inlineStr">
        <is>
          <t>등세모근 심층, 어깨뼈 안쪽모서리 따라 촉진</t>
        </is>
      </c>
      <c r="K6" s="24" t="inlineStr">
        <is>
          <t>날개어깨뼈(내측형)의 감별 근육 중 하나</t>
        </is>
      </c>
      <c r="L6" s="25" t="n"/>
    </row>
    <row r="7" ht="27.75" customHeight="1">
      <c r="A7" s="22" t="inlineStr">
        <is>
          <t>☐</t>
        </is>
      </c>
      <c r="B7" s="23" t="inlineStr">
        <is>
          <t>표층(사지연결근)</t>
        </is>
      </c>
      <c r="C7" s="24" t="inlineStr">
        <is>
          <t>작은마름근</t>
        </is>
      </c>
      <c r="D7" s="25" t="inlineStr">
        <is>
          <t>Rhomboid minor</t>
        </is>
      </c>
      <c r="E7" s="25" t="inlineStr">
        <is>
          <t>C7-T1 가시돌기</t>
        </is>
      </c>
      <c r="F7" s="24" t="inlineStr">
        <is>
          <t>어깨뼈 안쪽모서리(가시 높이)</t>
        </is>
      </c>
      <c r="G7" s="24" t="inlineStr">
        <is>
          <t>어깨뼈 모음·거상</t>
        </is>
      </c>
      <c r="H7" s="24" t="inlineStr">
        <is>
          <t>어깨등신경(C4-C5)</t>
        </is>
      </c>
      <c r="I7" s="24" t="inlineStr">
        <is>
          <t>어깨등동맥</t>
        </is>
      </c>
      <c r="J7" s="24" t="inlineStr">
        <is>
          <t>큰마름근 위쪽 경계에서 촉진</t>
        </is>
      </c>
      <c r="K7" s="24" t="inlineStr">
        <is>
          <t>큰마름근과 기능적으로 하나처럼 작용</t>
        </is>
      </c>
      <c r="L7" s="25" t="n"/>
    </row>
    <row r="8" ht="27.75" customHeight="1">
      <c r="A8" s="22" t="inlineStr">
        <is>
          <t>☐</t>
        </is>
      </c>
      <c r="B8" s="23" t="inlineStr">
        <is>
          <t>중간층(호흡보조)</t>
        </is>
      </c>
      <c r="C8" s="24" t="inlineStr">
        <is>
          <t>위뒤톱니근</t>
        </is>
      </c>
      <c r="D8" s="25" t="inlineStr">
        <is>
          <t>Serratus posterior superior</t>
        </is>
      </c>
      <c r="E8" s="25" t="inlineStr">
        <is>
          <t>C7-T3 가시돌기</t>
        </is>
      </c>
      <c r="F8" s="25" t="inlineStr">
        <is>
          <t>2-5번 갈비뼈</t>
        </is>
      </c>
      <c r="G8" s="24" t="inlineStr">
        <is>
          <t>갈비뼈 올림(흡기 보조)</t>
        </is>
      </c>
      <c r="H8" s="24" t="inlineStr">
        <is>
          <t>갈비사이신경(T2-T5)</t>
        </is>
      </c>
      <c r="I8" s="24" t="inlineStr">
        <is>
          <t>갈비사이동맥</t>
        </is>
      </c>
      <c r="J8" s="24" t="inlineStr">
        <is>
          <t>큰마름근 심층(직접 촉진 어려움)</t>
        </is>
      </c>
      <c r="K8" s="24" t="inlineStr">
        <is>
          <t>호흡보조근으로서의 역할은 제한적, 해부학적 랜드마크로 학습</t>
        </is>
      </c>
      <c r="L8" s="25" t="n"/>
    </row>
    <row r="9" ht="27.75" customHeight="1">
      <c r="A9" s="22" t="inlineStr">
        <is>
          <t>☐</t>
        </is>
      </c>
      <c r="B9" s="23" t="inlineStr">
        <is>
          <t>중간층(호흡보조)</t>
        </is>
      </c>
      <c r="C9" s="24" t="inlineStr">
        <is>
          <t>아래뒤톱니근</t>
        </is>
      </c>
      <c r="D9" s="25" t="inlineStr">
        <is>
          <t>Serratus posterior inferior</t>
        </is>
      </c>
      <c r="E9" s="25" t="inlineStr">
        <is>
          <t>T11-L2 가시돌기</t>
        </is>
      </c>
      <c r="F9" s="25" t="inlineStr">
        <is>
          <t>9-12번 갈비뼈</t>
        </is>
      </c>
      <c r="G9" s="24" t="inlineStr">
        <is>
          <t>갈비뼈 내림(호기 보조)</t>
        </is>
      </c>
      <c r="H9" s="24" t="inlineStr">
        <is>
          <t>갈비사이신경(T9-T12)</t>
        </is>
      </c>
      <c r="I9" s="24" t="inlineStr">
        <is>
          <t>갈비사이동맥</t>
        </is>
      </c>
      <c r="J9" s="24" t="inlineStr">
        <is>
          <t>넓은등근 심층(직접 촉진 어려움)</t>
        </is>
      </c>
      <c r="K9" s="24" t="inlineStr">
        <is>
          <t>넓은등근에 덮여 있어 체표 촉진 불가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심층(척추세움근)</t>
        </is>
      </c>
      <c r="C10" s="24" t="inlineStr">
        <is>
          <t>엉덩갈비근</t>
        </is>
      </c>
      <c r="D10" s="25" t="inlineStr">
        <is>
          <t>Iliocostalis</t>
        </is>
      </c>
      <c r="E10" s="24" t="inlineStr">
        <is>
          <t>엉치뼈·엉덩뼈능선·공통기시건(가쪽갈래)</t>
        </is>
      </c>
      <c r="F10" s="24" t="inlineStr">
        <is>
          <t>갈비뼈각들, 목뼈 가로돌기</t>
        </is>
      </c>
      <c r="G10" s="24" t="inlineStr">
        <is>
          <t>척주 폄(양측), 가쪽굽힘(편측)</t>
        </is>
      </c>
      <c r="H10" s="24" t="inlineStr">
        <is>
          <t>척수신경 뒤가지</t>
        </is>
      </c>
      <c r="I10" s="24" t="inlineStr">
        <is>
          <t>허리동맥·갈비사이동맥</t>
        </is>
      </c>
      <c r="J10" s="24" t="inlineStr">
        <is>
          <t>척추 양옆 가장 가쪽 세로 융기로 촉진</t>
        </is>
      </c>
      <c r="K10" s="24" t="inlineStr">
        <is>
          <t>척추세움근(가쪽부터 엉덩갈비근-가장긴근-가시근) 중 가장 가쪽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심층(척추세움근)</t>
        </is>
      </c>
      <c r="C11" s="24" t="inlineStr">
        <is>
          <t>가장긴근</t>
        </is>
      </c>
      <c r="D11" s="25" t="inlineStr">
        <is>
          <t>Longissimus</t>
        </is>
      </c>
      <c r="E11" s="24" t="inlineStr">
        <is>
          <t>공통기시건</t>
        </is>
      </c>
      <c r="F11" s="24" t="inlineStr">
        <is>
          <t>가로돌기들, 갈비뼈, 관자뼈 꼭지돌기(머리가장긴근)</t>
        </is>
      </c>
      <c r="G11" s="24" t="inlineStr">
        <is>
          <t>척주 폄, 가쪽굽힘</t>
        </is>
      </c>
      <c r="H11" s="24" t="inlineStr">
        <is>
          <t>척수신경 뒤가지</t>
        </is>
      </c>
      <c r="I11" s="24" t="inlineStr">
        <is>
          <t>허리동맥·갈비사이동맥</t>
        </is>
      </c>
      <c r="J11" s="24" t="inlineStr">
        <is>
          <t>척추세움근 중간 융기로 촉진(허리 부위에서 가장 두드러짐)</t>
        </is>
      </c>
      <c r="K11" s="24" t="inlineStr">
        <is>
          <t>척추세움근 중 가장 크고 길어 요통 평가 시 촉진 중심근</t>
        </is>
      </c>
      <c r="L11" s="25" t="n"/>
    </row>
    <row r="12" ht="27.75" customHeight="1">
      <c r="A12" s="22" t="inlineStr">
        <is>
          <t>☐</t>
        </is>
      </c>
      <c r="B12" s="23" t="inlineStr">
        <is>
          <t>심층(척추세움근)</t>
        </is>
      </c>
      <c r="C12" s="24" t="inlineStr">
        <is>
          <t>가시근</t>
        </is>
      </c>
      <c r="D12" s="25" t="inlineStr">
        <is>
          <t>Spinalis</t>
        </is>
      </c>
      <c r="E12" s="24" t="inlineStr">
        <is>
          <t>공통기시건, 위쪽 가시돌기들</t>
        </is>
      </c>
      <c r="F12" s="24" t="inlineStr">
        <is>
          <t>가시돌기들</t>
        </is>
      </c>
      <c r="G12" s="24" t="inlineStr">
        <is>
          <t>척주 폄</t>
        </is>
      </c>
      <c r="H12" s="24" t="inlineStr">
        <is>
          <t>척수신경 뒤가지</t>
        </is>
      </c>
      <c r="I12" s="24" t="inlineStr">
        <is>
          <t>척추동맥·갈비사이동맥 분지</t>
        </is>
      </c>
      <c r="J12" s="24" t="inlineStr">
        <is>
          <t>가시돌기 바로 옆(가장 안쪽)에서 촉진</t>
        </is>
      </c>
      <c r="K12" s="24" t="inlineStr">
        <is>
          <t>세 척추세움근 중 가장 작고 안쪽, 흉추부에서 가장 발달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심층(가로돌기가시근)</t>
        </is>
      </c>
      <c r="C13" s="24" t="inlineStr">
        <is>
          <t>반가시근</t>
        </is>
      </c>
      <c r="D13" s="25" t="inlineStr">
        <is>
          <t>Semispinalis</t>
        </is>
      </c>
      <c r="E13" s="24" t="inlineStr">
        <is>
          <t>가로돌기(흉추~경추)</t>
        </is>
      </c>
      <c r="F13" s="25" t="inlineStr">
        <is>
          <t>4-6마디 위 가시돌기, 뒤통수뼈(머리반가시근)</t>
        </is>
      </c>
      <c r="G13" s="24" t="inlineStr">
        <is>
          <t>척주 폄, 반대쪽 회전</t>
        </is>
      </c>
      <c r="H13" s="24" t="inlineStr">
        <is>
          <t>척수신경 뒤가지</t>
        </is>
      </c>
      <c r="I13" s="24" t="inlineStr">
        <is>
          <t>깊은목동맥</t>
        </is>
      </c>
      <c r="J13" s="24" t="inlineStr">
        <is>
          <t>목~등 정중선 바로 옆 깊은층에서 촉진</t>
        </is>
      </c>
      <c r="K13" s="24" t="inlineStr">
        <is>
          <t>머리반가시근은 두통 유발점 호발부위(경추성 두통과 관련)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심층(가로돌기가시근)</t>
        </is>
      </c>
      <c r="C14" s="24" t="inlineStr">
        <is>
          <t>뭇갈래근</t>
        </is>
      </c>
      <c r="D14" s="25" t="inlineStr">
        <is>
          <t>Multifidus</t>
        </is>
      </c>
      <c r="E14" s="24" t="inlineStr">
        <is>
          <t>엉치뼈·뒤위엉덩뼈가시·유두돌기·가로돌기</t>
        </is>
      </c>
      <c r="F14" s="25" t="inlineStr">
        <is>
          <t>2-4마디 위 가시돌기</t>
        </is>
      </c>
      <c r="G14" s="24" t="inlineStr">
        <is>
          <t>척주 폄·분절간 안정화, 반대쪽 회전</t>
        </is>
      </c>
      <c r="H14" s="24" t="inlineStr">
        <is>
          <t>척수신경 뒤가지</t>
        </is>
      </c>
      <c r="I14" s="24" t="inlineStr">
        <is>
          <t>분절동맥</t>
        </is>
      </c>
      <c r="J14" s="24" t="inlineStr">
        <is>
          <t>가시돌기 바로 옆(요추부에서 가장 두꺼움)으로 촉진</t>
        </is>
      </c>
      <c r="K14" s="24" t="inlineStr">
        <is>
          <t>요추 안정화(코어) 운동의 핵심 표적근, 만성요통 시 위축·억제 흔함</t>
        </is>
      </c>
      <c r="L14" s="25" t="n"/>
    </row>
    <row r="15" ht="27.75" customHeight="1">
      <c r="A15" s="22" t="inlineStr">
        <is>
          <t>☐</t>
        </is>
      </c>
      <c r="B15" s="23" t="inlineStr">
        <is>
          <t>심층(가로돌기가시근)</t>
        </is>
      </c>
      <c r="C15" s="24" t="inlineStr">
        <is>
          <t>돌림근</t>
        </is>
      </c>
      <c r="D15" s="25" t="inlineStr">
        <is>
          <t>Rotatores</t>
        </is>
      </c>
      <c r="E15" s="24" t="inlineStr">
        <is>
          <t>가로돌기</t>
        </is>
      </c>
      <c r="F15" s="25" t="inlineStr">
        <is>
          <t>1-2마디 위 가시돌기 기저부</t>
        </is>
      </c>
      <c r="G15" s="24" t="inlineStr">
        <is>
          <t>척추 미세 회전·분절 안정화(고유수용감각)</t>
        </is>
      </c>
      <c r="H15" s="24" t="inlineStr">
        <is>
          <t>척수신경 뒤가지</t>
        </is>
      </c>
      <c r="I15" s="24" t="inlineStr">
        <is>
          <t>분절동맥</t>
        </is>
      </c>
      <c r="J15" s="24" t="inlineStr">
        <is>
          <t>가장 깊은층으로 체표 촉진 불가</t>
        </is>
      </c>
      <c r="K15" s="24" t="inlineStr">
        <is>
          <t>가장 짧고 깊은 척추 안정화근, 흉추부에서 가장 뚜렷</t>
        </is>
      </c>
      <c r="L15" s="25" t="n"/>
    </row>
    <row r="16" ht="27.75" customHeight="1">
      <c r="A16" s="22" t="inlineStr">
        <is>
          <t>☐</t>
        </is>
      </c>
      <c r="B16" s="23" t="inlineStr">
        <is>
          <t>후두하근군</t>
        </is>
      </c>
      <c r="C16" s="24" t="inlineStr">
        <is>
          <t>뒤통수밑근(4개: 큰·작은뒤머리곧은근, 위·아래머리빗근)</t>
        </is>
      </c>
      <c r="D16" s="25" t="inlineStr">
        <is>
          <t>Suboccipital muscles</t>
        </is>
      </c>
      <c r="E16" s="24" t="inlineStr">
        <is>
          <t>고리뼈(환추)·중쇠뼈(축추)·뒤통수뼈 사이</t>
        </is>
      </c>
      <c r="F16" s="24" t="inlineStr">
        <is>
          <t>뒤통수뼈 아래목덜미선, 고리뼈·중쇠뼈 가로돌기</t>
        </is>
      </c>
      <c r="G16" s="24" t="inlineStr">
        <is>
          <t>머리 폄·회전의 정밀 조절(고유수용감각 풍부)</t>
        </is>
      </c>
      <c r="H16" s="24" t="inlineStr">
        <is>
          <t>뒤통수밑신경(C1 뒤가지)</t>
        </is>
      </c>
      <c r="I16" s="24" t="inlineStr">
        <is>
          <t>뒤통수동맥·척추동맥</t>
        </is>
      </c>
      <c r="J16" s="24" t="inlineStr">
        <is>
          <t>뒤통수뼈 바로 아래 정중선 양옆 깊은곳에서 촉진</t>
        </is>
      </c>
      <c r="K16" s="24" t="inlineStr">
        <is>
          <t>척추동맥이 큰뒤머리곧은근·위머리빗근 사이를 지나 두개골로 진입, 경추성 두통·어지럼과 밀접</t>
        </is>
      </c>
      <c r="L16" s="25" t="n"/>
    </row>
  </sheetData>
  <autoFilter ref="A2:L16"/>
  <mergeCells count="1">
    <mergeCell ref="A1:L1"/>
  </mergeCells>
  <dataValidations count="1">
    <dataValidation sqref="A3:A16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8AB6D6"/>
    <outlinePr summaryBelow="1" summaryRight="1"/>
    <pageSetUpPr/>
  </sheetPr>
  <dimension ref="A1:L1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9" t="inlineStr">
        <is>
          <t>가슴 (Thorax)  —  근육 학습 체크리스트  (총 8개)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37.5" customHeight="1">
      <c r="A3" s="22" t="inlineStr">
        <is>
          <t>☐</t>
        </is>
      </c>
      <c r="B3" s="23" t="inlineStr">
        <is>
          <t>얕은가슴근</t>
        </is>
      </c>
      <c r="C3" s="24" t="inlineStr">
        <is>
          <t>큰가슴근</t>
        </is>
      </c>
      <c r="D3" s="25" t="inlineStr">
        <is>
          <t>Pectoralis major</t>
        </is>
      </c>
      <c r="E3" s="24" t="inlineStr">
        <is>
          <t>빗장갈래-빗장뼈안쪽1/2 / 복장갈비갈래-복장뼈·2-6갈비연골 / 배갈래-배바깥빗근널힘줄</t>
        </is>
      </c>
      <c r="F3" s="24" t="inlineStr">
        <is>
          <t>위팔뼈 큰결절능선</t>
        </is>
      </c>
      <c r="G3" s="24" t="inlineStr">
        <is>
          <t>위팔 모음·안쪽돌림·굽힘(빗장갈래)</t>
        </is>
      </c>
      <c r="H3" s="24" t="inlineStr">
        <is>
          <t>가쪽·안쪽가슴근신경(C5-T1)</t>
        </is>
      </c>
      <c r="I3" s="24" t="inlineStr">
        <is>
          <t>가슴봉우리동맥·가쪽가슴동맥</t>
        </is>
      </c>
      <c r="J3" s="24" t="inlineStr">
        <is>
          <t>겨드랑 앞주름을 이루며 팔을 앞으로 밀 때 촉진</t>
        </is>
      </c>
      <c r="K3" s="24" t="inlineStr">
        <is>
          <t>유방암 근치술 시 절제 기준근, 팔굽혀펴기·벤치프레스 주동근</t>
        </is>
      </c>
      <c r="L3" s="25" t="n"/>
    </row>
    <row r="4" ht="27.75" customHeight="1">
      <c r="A4" s="22" t="inlineStr">
        <is>
          <t>☐</t>
        </is>
      </c>
      <c r="B4" s="23" t="inlineStr">
        <is>
          <t>얕은가슴근</t>
        </is>
      </c>
      <c r="C4" s="24" t="inlineStr">
        <is>
          <t>작은가슴근</t>
        </is>
      </c>
      <c r="D4" s="25" t="inlineStr">
        <is>
          <t>Pectoralis minor</t>
        </is>
      </c>
      <c r="E4" s="25" t="inlineStr">
        <is>
          <t>3-5번 갈비뼈</t>
        </is>
      </c>
      <c r="F4" s="24" t="inlineStr">
        <is>
          <t>어깨뼈 부리돌기</t>
        </is>
      </c>
      <c r="G4" s="24" t="inlineStr">
        <is>
          <t>어깨뼈 내림·아래쪽돌림·앞당김, 흡기 보조</t>
        </is>
      </c>
      <c r="H4" s="24" t="inlineStr">
        <is>
          <t>안쪽가슴근신경(C8-T1)</t>
        </is>
      </c>
      <c r="I4" s="24" t="inlineStr">
        <is>
          <t>가슴봉우리동맥</t>
        </is>
      </c>
      <c r="J4" s="24" t="inlineStr">
        <is>
          <t>큰가슴근 심층, 부리돌기 아래에서 촉진</t>
        </is>
      </c>
      <c r="K4" s="24" t="inlineStr">
        <is>
          <t>겨드랑동맥·팔신경얼기를 감싸며 지나감 → 가슴우리출구증후군(과다긴장 시) 관련</t>
        </is>
      </c>
      <c r="L4" s="25" t="n"/>
    </row>
    <row r="5" ht="27.75" customHeight="1">
      <c r="A5" s="22" t="inlineStr">
        <is>
          <t>☐</t>
        </is>
      </c>
      <c r="B5" s="23" t="inlineStr">
        <is>
          <t>얕은가슴근</t>
        </is>
      </c>
      <c r="C5" s="24" t="inlineStr">
        <is>
          <t>앞톱니근</t>
        </is>
      </c>
      <c r="D5" s="25" t="inlineStr">
        <is>
          <t>Serratus anterior</t>
        </is>
      </c>
      <c r="E5" s="25" t="inlineStr">
        <is>
          <t>1-8/9번 갈비뼈 가쪽면</t>
        </is>
      </c>
      <c r="F5" s="24" t="inlineStr">
        <is>
          <t>어깨뼈 안쪽모서리(앞면)</t>
        </is>
      </c>
      <c r="G5" s="24" t="inlineStr">
        <is>
          <t>어깨뼈 앞당김·위쪽돌림, 날개어깨뼈 방지</t>
        </is>
      </c>
      <c r="H5" s="24" t="inlineStr">
        <is>
          <t>긴가슴신경(장흉신경, C5-C7)</t>
        </is>
      </c>
      <c r="I5" s="24" t="inlineStr">
        <is>
          <t>가쪽가슴동맥</t>
        </is>
      </c>
      <c r="J5" s="24" t="inlineStr">
        <is>
          <t>겨드랑이 아래 옆가슴에서 팔을 밀 때 톱니모양 촉진</t>
        </is>
      </c>
      <c r="K5" s="24" t="inlineStr">
        <is>
          <t>긴가슴신경 손상 시 날개어깨뼈(외측형)의 대표 원인</t>
        </is>
      </c>
      <c r="L5" s="25" t="n"/>
    </row>
    <row r="6" ht="27.75" customHeight="1">
      <c r="A6" s="22" t="inlineStr">
        <is>
          <t>☐</t>
        </is>
      </c>
      <c r="B6" s="23" t="inlineStr">
        <is>
          <t>얕은가슴근</t>
        </is>
      </c>
      <c r="C6" s="24" t="inlineStr">
        <is>
          <t>빗장밑근</t>
        </is>
      </c>
      <c r="D6" s="25" t="inlineStr">
        <is>
          <t>Subclavius</t>
        </is>
      </c>
      <c r="E6" s="25" t="inlineStr">
        <is>
          <t>1번갈비뼈-갈비연골 접합부</t>
        </is>
      </c>
      <c r="F6" s="24" t="inlineStr">
        <is>
          <t>빗장뼈 아래면</t>
        </is>
      </c>
      <c r="G6" s="24" t="inlineStr">
        <is>
          <t>빗장뼈를 아래로 고정, 복장빗장관절 안정화</t>
        </is>
      </c>
      <c r="H6" s="24" t="inlineStr">
        <is>
          <t>빗장밑근신경(C5-C6)</t>
        </is>
      </c>
      <c r="I6" s="24" t="inlineStr">
        <is>
          <t>어깨뼈위동맥</t>
        </is>
      </c>
      <c r="J6" s="24" t="inlineStr">
        <is>
          <t>빗장뼈 아래(체표 촉진 어려움)</t>
        </is>
      </c>
      <c r="K6" s="24" t="inlineStr">
        <is>
          <t>빗장뼈 골절 시 아래의 빗장밑동·정맥 보호막 역할</t>
        </is>
      </c>
      <c r="L6" s="25" t="n"/>
    </row>
    <row r="7" ht="27.75" customHeight="1">
      <c r="A7" s="22" t="inlineStr">
        <is>
          <t>☐</t>
        </is>
      </c>
      <c r="B7" s="23" t="inlineStr">
        <is>
          <t>고유가슴근</t>
        </is>
      </c>
      <c r="C7" s="24" t="inlineStr">
        <is>
          <t>바깥갈비사이근</t>
        </is>
      </c>
      <c r="D7" s="25" t="inlineStr">
        <is>
          <t>External intercostal</t>
        </is>
      </c>
      <c r="E7" s="24" t="inlineStr">
        <is>
          <t>위갈비뼈 아래모서리</t>
        </is>
      </c>
      <c r="F7" s="24" t="inlineStr">
        <is>
          <t>아래갈비뼈 위모서리(섬유는 앞아래 방향)</t>
        </is>
      </c>
      <c r="G7" s="24" t="inlineStr">
        <is>
          <t>갈비뼈를 올림(흡기)</t>
        </is>
      </c>
      <c r="H7" s="24" t="inlineStr">
        <is>
          <t>갈비사이신경</t>
        </is>
      </c>
      <c r="I7" s="24" t="inlineStr">
        <is>
          <t>갈비사이동맥</t>
        </is>
      </c>
      <c r="J7" s="24" t="inlineStr">
        <is>
          <t>갈비뼈 사이 앞·가쪽에서 촉진 가능</t>
        </is>
      </c>
      <c r="K7" s="24" t="inlineStr">
        <is>
          <t>흉막천자 시 갈비뼈 위모서리(신경혈관다발 아래) 자입이 원칙인 이유와 관련</t>
        </is>
      </c>
      <c r="L7" s="25" t="n"/>
    </row>
    <row r="8" ht="27.75" customHeight="1">
      <c r="A8" s="22" t="inlineStr">
        <is>
          <t>☐</t>
        </is>
      </c>
      <c r="B8" s="23" t="inlineStr">
        <is>
          <t>고유가슴근</t>
        </is>
      </c>
      <c r="C8" s="24" t="inlineStr">
        <is>
          <t>속갈비사이근</t>
        </is>
      </c>
      <c r="D8" s="25" t="inlineStr">
        <is>
          <t>Internal intercostal</t>
        </is>
      </c>
      <c r="E8" s="24" t="inlineStr">
        <is>
          <t>아래갈비뼈 위모서리(안쪽면)</t>
        </is>
      </c>
      <c r="F8" s="24" t="inlineStr">
        <is>
          <t>위갈비뼈 아래모서리(섬유는 앞위 방향, 바깥과 직교)</t>
        </is>
      </c>
      <c r="G8" s="24" t="inlineStr">
        <is>
          <t>갈비뼈를 내림(강한 호기)</t>
        </is>
      </c>
      <c r="H8" s="24" t="inlineStr">
        <is>
          <t>갈비사이신경</t>
        </is>
      </c>
      <c r="I8" s="24" t="inlineStr">
        <is>
          <t>갈비사이동맥</t>
        </is>
      </c>
      <c r="J8" s="24" t="inlineStr">
        <is>
          <t>바깥갈비사이근 심층</t>
        </is>
      </c>
      <c r="K8" s="24" t="inlineStr">
        <is>
          <t>갈비사이신경·동맥·정맥이 이 근육과 최내갈비사이근 사이 고랑으로 주행</t>
        </is>
      </c>
      <c r="L8" s="25" t="n"/>
    </row>
    <row r="9" ht="27.75" customHeight="1">
      <c r="A9" s="22" t="inlineStr">
        <is>
          <t>☐</t>
        </is>
      </c>
      <c r="B9" s="23" t="inlineStr">
        <is>
          <t>고유가슴근</t>
        </is>
      </c>
      <c r="C9" s="24" t="inlineStr">
        <is>
          <t>최내갈비사이근</t>
        </is>
      </c>
      <c r="D9" s="25" t="inlineStr">
        <is>
          <t>Innermost intercostal</t>
        </is>
      </c>
      <c r="E9" s="24" t="inlineStr">
        <is>
          <t>속갈비사이근과 유사(가장 깊은층)</t>
        </is>
      </c>
      <c r="F9" s="24" t="inlineStr">
        <is>
          <t>인접 갈비뼈(속갈비사이근과 섬유방향 동일)</t>
        </is>
      </c>
      <c r="G9" s="24" t="inlineStr">
        <is>
          <t>속갈비사이근 보조(갈비뼈 내림)</t>
        </is>
      </c>
      <c r="H9" s="24" t="inlineStr">
        <is>
          <t>갈비사이신경</t>
        </is>
      </c>
      <c r="I9" s="24" t="inlineStr">
        <is>
          <t>갈비사이동맥</t>
        </is>
      </c>
      <c r="J9" s="24" t="inlineStr">
        <is>
          <t>가장 깊은층, 촉진 불가</t>
        </is>
      </c>
      <c r="K9" s="24" t="inlineStr">
        <is>
          <t>신경혈관다발(VAN: 정맥-동맥-신경)이 바로 표층을 주행 → 흉관삽입 시 손상 주의</t>
        </is>
      </c>
      <c r="L9" s="25" t="n"/>
    </row>
    <row r="10" ht="37.5" customHeight="1">
      <c r="A10" s="22" t="inlineStr">
        <is>
          <t>☐</t>
        </is>
      </c>
      <c r="B10" s="23" t="inlineStr">
        <is>
          <t>호흡의 주근</t>
        </is>
      </c>
      <c r="C10" s="24" t="inlineStr">
        <is>
          <t>가로막(횡격막)</t>
        </is>
      </c>
      <c r="D10" s="25" t="inlineStr">
        <is>
          <t>Diaphragm</t>
        </is>
      </c>
      <c r="E10" s="24" t="inlineStr">
        <is>
          <t>칼돌기·아래갈비뼈6쌍 안쪽면·허리뼈(내·외측활꼴인대)</t>
        </is>
      </c>
      <c r="F10" s="24" t="inlineStr">
        <is>
          <t>중심널힘줄</t>
        </is>
      </c>
      <c r="G10" s="24" t="inlineStr">
        <is>
          <t>주 흡기근(수축 시 편평해지며 흉강 확장)</t>
        </is>
      </c>
      <c r="H10" s="24" t="inlineStr">
        <is>
          <t>가로막신경(횡격신경, C3-C5)</t>
        </is>
      </c>
      <c r="I10" s="24" t="inlineStr">
        <is>
          <t>위·아래가로막동맥, 심장막가로막동맥</t>
        </is>
      </c>
      <c r="J10" s="24" t="inlineStr">
        <is>
          <t>직접 체표 촉진 불가(복부팽창으로 간접 확인)</t>
        </is>
      </c>
      <c r="K10" s="25" t="inlineStr">
        <is>
          <t>"C3,4,5 keeps the diaphragm alive" — 대동맥(T12)·식도(T10)·아래대정맥(T8) 세 구멍 통과 높이 암기 필수</t>
        </is>
      </c>
      <c r="L10" s="25" t="n"/>
    </row>
  </sheetData>
  <autoFilter ref="A2:L10"/>
  <mergeCells count="1">
    <mergeCell ref="A1:L1"/>
  </mergeCells>
  <dataValidations count="1">
    <dataValidation sqref="A3:A10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D6A6D6"/>
    <outlinePr summaryBelow="1" summaryRight="1"/>
    <pageSetUpPr/>
  </sheetPr>
  <dimension ref="A1:L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8" t="inlineStr">
        <is>
          <t>배 (Abdomen)  —  근육 학습 체크리스트  (총 5개)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앞배근</t>
        </is>
      </c>
      <c r="C3" s="24" t="inlineStr">
        <is>
          <t>배곧은근</t>
        </is>
      </c>
      <c r="D3" s="25" t="inlineStr">
        <is>
          <t>Rectus abdominis</t>
        </is>
      </c>
      <c r="E3" s="24" t="inlineStr">
        <is>
          <t>두덩결합·두덩뼈능선</t>
        </is>
      </c>
      <c r="F3" s="25" t="inlineStr">
        <is>
          <t>5-7번 갈비연골, 칼돌기</t>
        </is>
      </c>
      <c r="G3" s="24" t="inlineStr">
        <is>
          <t>몸통 굽힘, 배안압력 증가(배변·분만·기침)</t>
        </is>
      </c>
      <c r="H3" s="24" t="inlineStr">
        <is>
          <t>갈비사이신경(T7-T11)+갈비밑신경(T12)</t>
        </is>
      </c>
      <c r="I3" s="24" t="inlineStr">
        <is>
          <t>위·아래배벽동맥</t>
        </is>
      </c>
      <c r="J3" s="24" t="inlineStr">
        <is>
          <t>윗몸일으키기 시 정중선 양옆 세로 융기로 촉진, 힘줄교차(건획) 촉지 가능</t>
        </is>
      </c>
      <c r="K3" s="24" t="inlineStr">
        <is>
          <t>복직근초 내 3-4개 힘줄교차로 '王'자(식스팩) 형성, 반달선·백색선이 탈장 호발부위와 관련</t>
        </is>
      </c>
      <c r="L3" s="25" t="n"/>
    </row>
    <row r="4" ht="27.75" customHeight="1">
      <c r="A4" s="22" t="inlineStr">
        <is>
          <t>☐</t>
        </is>
      </c>
      <c r="B4" s="23" t="inlineStr">
        <is>
          <t>가쪽배근(층)</t>
        </is>
      </c>
      <c r="C4" s="24" t="inlineStr">
        <is>
          <t>배바깥빗근</t>
        </is>
      </c>
      <c r="D4" s="25" t="inlineStr">
        <is>
          <t>External oblique</t>
        </is>
      </c>
      <c r="E4" s="25" t="inlineStr">
        <is>
          <t>5-12번 갈비뼈 바깥면</t>
        </is>
      </c>
      <c r="F4" s="24" t="inlineStr">
        <is>
          <t>엉덩뼈능선, 백색선(널힘줄)</t>
        </is>
      </c>
      <c r="G4" s="24" t="inlineStr">
        <is>
          <t>몸통 굽힘, 반대쪽 회전, 같은쪽 가쪽굽힘</t>
        </is>
      </c>
      <c r="H4" s="24" t="inlineStr">
        <is>
          <t>갈비사이신경(T7-T11)+갈비밑신경(T12)</t>
        </is>
      </c>
      <c r="I4" s="24" t="inlineStr">
        <is>
          <t>아래갈비사이동맥</t>
        </is>
      </c>
      <c r="J4" s="24" t="inlineStr">
        <is>
          <t>옆구리에서 대각선(주머니에 손 넣는 방향) 섬유주행 촉진</t>
        </is>
      </c>
      <c r="K4" s="24" t="inlineStr">
        <is>
          <t>샅고랑인대(inguinal ligament)를 형성, 샅굴탈장 평가 시 기준</t>
        </is>
      </c>
      <c r="L4" s="25" t="n"/>
    </row>
    <row r="5" ht="27.75" customHeight="1">
      <c r="A5" s="22" t="inlineStr">
        <is>
          <t>☐</t>
        </is>
      </c>
      <c r="B5" s="23" t="inlineStr">
        <is>
          <t>가쪽배근(층)</t>
        </is>
      </c>
      <c r="C5" s="24" t="inlineStr">
        <is>
          <t>배속빗근</t>
        </is>
      </c>
      <c r="D5" s="25" t="inlineStr">
        <is>
          <t>Internal oblique</t>
        </is>
      </c>
      <c r="E5" s="24" t="inlineStr">
        <is>
          <t>샅고랑인대·엉덩뼈능선·등허리널힘줄</t>
        </is>
      </c>
      <c r="F5" s="25" t="inlineStr">
        <is>
          <t>10-12번 갈비연골, 백색선</t>
        </is>
      </c>
      <c r="G5" s="24" t="inlineStr">
        <is>
          <t>몸통 굽힘, 같은쪽 회전, 가쪽굽힘</t>
        </is>
      </c>
      <c r="H5" s="25" t="inlineStr">
        <is>
          <t>T7-T11, 갈비밑신경, 엉덩아랫배신경·엉덩샅굴신경(L1)</t>
        </is>
      </c>
      <c r="I5" s="24" t="inlineStr">
        <is>
          <t>아래갈비사이동맥·깊은엉덩휘돌이동맥</t>
        </is>
      </c>
      <c r="J5" s="24" t="inlineStr">
        <is>
          <t>배바깥빗근 심층(섬유방향은 직교)</t>
        </is>
      </c>
      <c r="K5" s="24" t="inlineStr">
        <is>
          <t>정삭을 감싸는 고환올림근이 이 근육에서 이어져 나옴</t>
        </is>
      </c>
      <c r="L5" s="25" t="n"/>
    </row>
    <row r="6" ht="27.75" customHeight="1">
      <c r="A6" s="22" t="inlineStr">
        <is>
          <t>☐</t>
        </is>
      </c>
      <c r="B6" s="23" t="inlineStr">
        <is>
          <t>가쪽배근(층)</t>
        </is>
      </c>
      <c r="C6" s="24" t="inlineStr">
        <is>
          <t>배가로근</t>
        </is>
      </c>
      <c r="D6" s="25" t="inlineStr">
        <is>
          <t>Transversus abdominis</t>
        </is>
      </c>
      <c r="E6" s="24" t="inlineStr">
        <is>
          <t>샅고랑인대·엉덩뼈능선·등허리널힘줄·7-12갈비연골안쪽</t>
        </is>
      </c>
      <c r="F6" s="24" t="inlineStr">
        <is>
          <t>백색선, 두덩뼈(모음근널힘줄)</t>
        </is>
      </c>
      <c r="G6" s="24" t="inlineStr">
        <is>
          <t>배안 압박(코르셋 기능, 척추 분절안정화 관여)</t>
        </is>
      </c>
      <c r="H6" s="25" t="inlineStr">
        <is>
          <t>T7-T11, 갈비밑신경, 엉덩아랫배·엉덩샅굴신경</t>
        </is>
      </c>
      <c r="I6" s="24" t="inlineStr">
        <is>
          <t>아래갈비사이동맥·허리동맥</t>
        </is>
      </c>
      <c r="J6" s="24" t="inlineStr">
        <is>
          <t>가장 심층이라 직접 촉진은 어려움(배 힘줄판을 통해 간접 확인)</t>
        </is>
      </c>
      <c r="K6" s="24" t="inlineStr">
        <is>
          <t>코어안정화 운동(드로우인)의 핵심 표적근, 섬유가 가로로 주행하는 유일한 배근</t>
        </is>
      </c>
      <c r="L6" s="25" t="n"/>
    </row>
    <row r="7" ht="27.75" customHeight="1">
      <c r="A7" s="22" t="inlineStr">
        <is>
          <t>☐</t>
        </is>
      </c>
      <c r="B7" s="23" t="inlineStr">
        <is>
          <t>뒤배근</t>
        </is>
      </c>
      <c r="C7" s="24" t="inlineStr">
        <is>
          <t>허리네모근</t>
        </is>
      </c>
      <c r="D7" s="25" t="inlineStr">
        <is>
          <t>Quadratus lumborum</t>
        </is>
      </c>
      <c r="E7" s="24" t="inlineStr">
        <is>
          <t>엉덩뼈능선·엉덩허리인대</t>
        </is>
      </c>
      <c r="F7" s="25" t="inlineStr">
        <is>
          <t>12번갈비뼈, L1-L4 갈비돌기</t>
        </is>
      </c>
      <c r="G7" s="24" t="inlineStr">
        <is>
          <t>몸통 가쪽굽힘, 12번갈비뼈 고정(호흡보조)</t>
        </is>
      </c>
      <c r="H7" s="25" t="inlineStr">
        <is>
          <t>T12, L1-L3(허리신경얼기)</t>
        </is>
      </c>
      <c r="I7" s="24" t="inlineStr">
        <is>
          <t>허리동맥</t>
        </is>
      </c>
      <c r="J7" s="24" t="inlineStr">
        <is>
          <t>갈비뼈와 엉덩뼈능선 사이 옆구리 깊은곳에서 촉진</t>
        </is>
      </c>
      <c r="K7" s="24" t="inlineStr">
        <is>
          <t>요통·허리디스크와 흔히 연관되는 근막통증 유발점 근육, 신장 뒤쪽에 위치</t>
        </is>
      </c>
      <c r="L7" s="25" t="n"/>
    </row>
  </sheetData>
  <autoFilter ref="A2:L7"/>
  <mergeCells count="1">
    <mergeCell ref="A1:L1"/>
  </mergeCells>
  <dataValidations count="1">
    <dataValidation sqref="A3:A7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E0B84A"/>
    <outlinePr summaryBelow="1" summaryRight="1"/>
    <pageSetUpPr/>
  </sheetPr>
  <dimension ref="A1:L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7" t="inlineStr">
        <is>
          <t>어깨 (Shoulder)  —  근육 학습 체크리스트  (총 7개)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어깨관절 주변</t>
        </is>
      </c>
      <c r="C3" s="24" t="inlineStr">
        <is>
          <t>어깨세모근</t>
        </is>
      </c>
      <c r="D3" s="25" t="inlineStr">
        <is>
          <t>Deltoid</t>
        </is>
      </c>
      <c r="E3" s="24" t="inlineStr">
        <is>
          <t>빗장뼈가쪽1/3·어깨뼈봉우리·어깨뼈가시</t>
        </is>
      </c>
      <c r="F3" s="24" t="inlineStr">
        <is>
          <t>위팔뼈 세모근거친면</t>
        </is>
      </c>
      <c r="G3" s="24" t="inlineStr">
        <is>
          <t>앞섬유-굽힘·안쪽돌림 / 중간섬유-벌림 / 뒷섬유-폄·가쪽돌림</t>
        </is>
      </c>
      <c r="H3" s="24" t="inlineStr">
        <is>
          <t>겨드랑신경(C5-C6)</t>
        </is>
      </c>
      <c r="I3" s="24" t="inlineStr">
        <is>
          <t>뒤위팔휘돌이동맥</t>
        </is>
      </c>
      <c r="J3" s="24" t="inlineStr">
        <is>
          <t>어깨 전체를 감싸는 둥근 윤곽으로 쉽게 촉진</t>
        </is>
      </c>
      <c r="K3" s="24" t="inlineStr">
        <is>
          <t>근육주사(삼각근주사) 표준 부위, 겨드랑신경 손상(어깨탈구 합병증) 시 '계급장 마비'</t>
        </is>
      </c>
      <c r="L3" s="25" t="n"/>
    </row>
    <row r="4" ht="27.75" customHeight="1">
      <c r="A4" s="22" t="inlineStr">
        <is>
          <t>☐</t>
        </is>
      </c>
      <c r="B4" s="23" t="inlineStr">
        <is>
          <t>돌림근띠(회전근개)</t>
        </is>
      </c>
      <c r="C4" s="24" t="inlineStr">
        <is>
          <t>가시위근</t>
        </is>
      </c>
      <c r="D4" s="25" t="inlineStr">
        <is>
          <t>Supraspinatus</t>
        </is>
      </c>
      <c r="E4" s="24" t="inlineStr">
        <is>
          <t>어깨뼈 가시위오목</t>
        </is>
      </c>
      <c r="F4" s="24" t="inlineStr">
        <is>
          <t>위팔뼈 큰결절(위쪽면)</t>
        </is>
      </c>
      <c r="G4" s="24" t="inlineStr">
        <is>
          <t>벌림 시작(0-15도), 어깨관절 능동적 안정화</t>
        </is>
      </c>
      <c r="H4" s="24" t="inlineStr">
        <is>
          <t>어깨위신경(견갑상신경, C5-C6)</t>
        </is>
      </c>
      <c r="I4" s="24" t="inlineStr">
        <is>
          <t>어깨위동맥</t>
        </is>
      </c>
      <c r="J4" s="24" t="inlineStr">
        <is>
          <t>등세모근 심층, 어깨뼈가시 위쪽에서 촉진(팔을 뒤로 젖히면 접근 용이)</t>
        </is>
      </c>
      <c r="K4" s="24" t="inlineStr">
        <is>
          <t>돌림근띠 파열의 최호발 부위(견봉하 충돌증후군), 빈 캔 검사(empty can test)</t>
        </is>
      </c>
      <c r="L4" s="25" t="n"/>
    </row>
    <row r="5" ht="27.75" customHeight="1">
      <c r="A5" s="22" t="inlineStr">
        <is>
          <t>☐</t>
        </is>
      </c>
      <c r="B5" s="23" t="inlineStr">
        <is>
          <t>돌림근띠(회전근개)</t>
        </is>
      </c>
      <c r="C5" s="24" t="inlineStr">
        <is>
          <t>가시아래근</t>
        </is>
      </c>
      <c r="D5" s="25" t="inlineStr">
        <is>
          <t>Infraspinatus</t>
        </is>
      </c>
      <c r="E5" s="24" t="inlineStr">
        <is>
          <t>어깨뼈 가시아래오목</t>
        </is>
      </c>
      <c r="F5" s="24" t="inlineStr">
        <is>
          <t>위팔뼈 큰결절(중간면)</t>
        </is>
      </c>
      <c r="G5" s="24" t="inlineStr">
        <is>
          <t>위팔 가쪽돌림, 어깨관절 안정화</t>
        </is>
      </c>
      <c r="H5" s="24" t="inlineStr">
        <is>
          <t>어깨위신경(C5-C6)</t>
        </is>
      </c>
      <c r="I5" s="24" t="inlineStr">
        <is>
          <t>어깨위동맥·휘돌이어깨동맥</t>
        </is>
      </c>
      <c r="J5" s="24" t="inlineStr">
        <is>
          <t>어깨뼈가시 아래 넓은 부위에서 촉진</t>
        </is>
      </c>
      <c r="K5" s="24" t="inlineStr">
        <is>
          <t>가쪽돌림 근력검사(저항 시 통증)로 돌림근띠 파열 선별</t>
        </is>
      </c>
      <c r="L5" s="25" t="n"/>
    </row>
    <row r="6" ht="27.75" customHeight="1">
      <c r="A6" s="22" t="inlineStr">
        <is>
          <t>☐</t>
        </is>
      </c>
      <c r="B6" s="23" t="inlineStr">
        <is>
          <t>돌림근띠(회전근개)</t>
        </is>
      </c>
      <c r="C6" s="24" t="inlineStr">
        <is>
          <t>작은원근</t>
        </is>
      </c>
      <c r="D6" s="25" t="inlineStr">
        <is>
          <t>Teres minor</t>
        </is>
      </c>
      <c r="E6" s="24" t="inlineStr">
        <is>
          <t>어깨뼈 가쪽모서리(위쪽2/3)</t>
        </is>
      </c>
      <c r="F6" s="24" t="inlineStr">
        <is>
          <t>위팔뼈 큰결절(아래면)</t>
        </is>
      </c>
      <c r="G6" s="24" t="inlineStr">
        <is>
          <t>위팔 가쪽돌림, 어깨관절 안정화</t>
        </is>
      </c>
      <c r="H6" s="24" t="inlineStr">
        <is>
          <t>겨드랑신경(C5-C6)</t>
        </is>
      </c>
      <c r="I6" s="24" t="inlineStr">
        <is>
          <t>뒤위팔휘돌이동맥</t>
        </is>
      </c>
      <c r="J6" s="24" t="inlineStr">
        <is>
          <t>가시아래근 아래쪽, 큰원근 위쪽에서 촉진</t>
        </is>
      </c>
      <c r="K6" s="24" t="inlineStr">
        <is>
          <t>가시아래근과 협동, 사각공간(quadrangular space)의 위쪽 경계 형성</t>
        </is>
      </c>
      <c r="L6" s="25" t="n"/>
    </row>
    <row r="7" ht="27.75" customHeight="1">
      <c r="A7" s="22" t="inlineStr">
        <is>
          <t>☐</t>
        </is>
      </c>
      <c r="B7" s="23" t="inlineStr">
        <is>
          <t>돌림근띠(회전근개)</t>
        </is>
      </c>
      <c r="C7" s="24" t="inlineStr">
        <is>
          <t>어깨밑근</t>
        </is>
      </c>
      <c r="D7" s="25" t="inlineStr">
        <is>
          <t>Subscapularis</t>
        </is>
      </c>
      <c r="E7" s="24" t="inlineStr">
        <is>
          <t>어깨뼈밑오목(앞면)</t>
        </is>
      </c>
      <c r="F7" s="24" t="inlineStr">
        <is>
          <t>위팔뼈 작은결절</t>
        </is>
      </c>
      <c r="G7" s="24" t="inlineStr">
        <is>
          <t>위팔 안쪽돌림, 어깨관절 안쪽 안정화</t>
        </is>
      </c>
      <c r="H7" s="24" t="inlineStr">
        <is>
          <t>위·아래어깨밑신경(C5-C6)</t>
        </is>
      </c>
      <c r="I7" s="24" t="inlineStr">
        <is>
          <t>어깨밑동맥</t>
        </is>
      </c>
      <c r="J7" s="24" t="inlineStr">
        <is>
          <t>겨드랑이를 통해 어깨뼈 앞면에서 간접 촉진</t>
        </is>
      </c>
      <c r="K7" s="24" t="inlineStr">
        <is>
          <t>돌림근띠 중 유일하게 앞면에 위치, 들어올림검사(lift-off test)로 평가</t>
        </is>
      </c>
      <c r="L7" s="25" t="n"/>
    </row>
    <row r="8" ht="27.75" customHeight="1">
      <c r="A8" s="22" t="inlineStr">
        <is>
          <t>☐</t>
        </is>
      </c>
      <c r="B8" s="23" t="inlineStr">
        <is>
          <t>사지연결근</t>
        </is>
      </c>
      <c r="C8" s="24" t="inlineStr">
        <is>
          <t>큰원근</t>
        </is>
      </c>
      <c r="D8" s="25" t="inlineStr">
        <is>
          <t>Teres major</t>
        </is>
      </c>
      <c r="E8" s="24" t="inlineStr">
        <is>
          <t>어깨뼈 아래각(가쪽모서리 아래1/3)</t>
        </is>
      </c>
      <c r="F8" s="24" t="inlineStr">
        <is>
          <t>위팔뼈 작은결절능선</t>
        </is>
      </c>
      <c r="G8" s="24" t="inlineStr">
        <is>
          <t>위팔 안쪽돌림·모음·폄</t>
        </is>
      </c>
      <c r="H8" s="24" t="inlineStr">
        <is>
          <t>아래어깨밑신경(C5-C6)</t>
        </is>
      </c>
      <c r="I8" s="24" t="inlineStr">
        <is>
          <t>어깨밑동맥</t>
        </is>
      </c>
      <c r="J8" s="24" t="inlineStr">
        <is>
          <t>겨드랑 뒤벽 아래쪽, 넓은등근 위에서 촉진</t>
        </is>
      </c>
      <c r="K8" s="25" t="inlineStr">
        <is>
          <t>"작은 넓은등근"이라 불릴 만큼 기능이 유사, 돌림근띠에는 포함되지 않음(비-회전근개)</t>
        </is>
      </c>
      <c r="L8" s="25" t="n"/>
    </row>
    <row r="9" ht="27.75" customHeight="1">
      <c r="A9" s="22" t="inlineStr">
        <is>
          <t>☐</t>
        </is>
      </c>
      <c r="B9" s="23" t="inlineStr">
        <is>
          <t>위팔연결근</t>
        </is>
      </c>
      <c r="C9" s="24" t="inlineStr">
        <is>
          <t>부리위팔근</t>
        </is>
      </c>
      <c r="D9" s="25" t="inlineStr">
        <is>
          <t>Coracobrachialis</t>
        </is>
      </c>
      <c r="E9" s="24" t="inlineStr">
        <is>
          <t>어깨뼈 부리돌기</t>
        </is>
      </c>
      <c r="F9" s="24" t="inlineStr">
        <is>
          <t>위팔뼈 안쪽면 중간</t>
        </is>
      </c>
      <c r="G9" s="24" t="inlineStr">
        <is>
          <t>위팔 굽힘·모음(어깨)</t>
        </is>
      </c>
      <c r="H9" s="24" t="inlineStr">
        <is>
          <t>근육피부신경(C5-C7)</t>
        </is>
      </c>
      <c r="I9" s="24" t="inlineStr">
        <is>
          <t>위팔동맥</t>
        </is>
      </c>
      <c r="J9" s="24" t="inlineStr">
        <is>
          <t>위팔두갈래근 짧은갈래 안쪽 깊은곳에서 촉진</t>
        </is>
      </c>
      <c r="K9" s="24" t="inlineStr">
        <is>
          <t>근육피부신경이 이 근육을 관통하는 대표적 해부학 랜드마크</t>
        </is>
      </c>
      <c r="L9" s="25" t="n"/>
    </row>
  </sheetData>
  <autoFilter ref="A2:L9"/>
  <mergeCells count="1">
    <mergeCell ref="A1:L1"/>
  </mergeCells>
  <dataValidations count="1">
    <dataValidation sqref="A3:A9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C97B5F"/>
    <outlinePr summaryBelow="1" summaryRight="1"/>
    <pageSetUpPr/>
  </sheetPr>
  <dimension ref="A1:L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6" t="inlineStr">
        <is>
          <t>위팔 (Arm)  —  근육 학습 체크리스트  (총 4개)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앞칸(굽힘근)</t>
        </is>
      </c>
      <c r="C3" s="24" t="inlineStr">
        <is>
          <t>위팔두갈래근</t>
        </is>
      </c>
      <c r="D3" s="25" t="inlineStr">
        <is>
          <t>Biceps brachii</t>
        </is>
      </c>
      <c r="E3" s="24" t="inlineStr">
        <is>
          <t>긴갈래-어깨뼈 관절위결절 / 짧은갈래-어깨뼈 부리돌기</t>
        </is>
      </c>
      <c r="F3" s="24" t="inlineStr">
        <is>
          <t>노뼈거친면, 위팔두갈래근널힘줄(아래팔근막)</t>
        </is>
      </c>
      <c r="G3" s="24" t="inlineStr">
        <is>
          <t>팔꿈치 굽힘, 아래팔 뒤침(가장 강력), 어깨 약한 굽힘</t>
        </is>
      </c>
      <c r="H3" s="24" t="inlineStr">
        <is>
          <t>근육피부신경(C5-C6)</t>
        </is>
      </c>
      <c r="I3" s="24" t="inlineStr">
        <is>
          <t>위팔동맥</t>
        </is>
      </c>
      <c r="J3" s="24" t="inlineStr">
        <is>
          <t>팔꿈치 앞쪽, 병뚜껑 딸 때처럼 뒤침하며 굽히면 뚜렷이 촉진</t>
        </is>
      </c>
      <c r="K3" s="25" t="inlineStr">
        <is>
          <t>'병따개근'이라는 별명(뒤침+굽힘), 긴갈래힘줄염(결절사이고랑 압통)</t>
        </is>
      </c>
      <c r="L3" s="25" t="n"/>
    </row>
    <row r="4" ht="27.75" customHeight="1">
      <c r="A4" s="22" t="inlineStr">
        <is>
          <t>☐</t>
        </is>
      </c>
      <c r="B4" s="23" t="inlineStr">
        <is>
          <t>앞칸(굽힘근)</t>
        </is>
      </c>
      <c r="C4" s="24" t="inlineStr">
        <is>
          <t>위팔근</t>
        </is>
      </c>
      <c r="D4" s="25" t="inlineStr">
        <is>
          <t>Brachialis</t>
        </is>
      </c>
      <c r="E4" s="24" t="inlineStr">
        <is>
          <t>위팔뼈 앞면 하부</t>
        </is>
      </c>
      <c r="F4" s="24" t="inlineStr">
        <is>
          <t>자뼈거친면(갈고리돌기)</t>
        </is>
      </c>
      <c r="G4" s="24" t="inlineStr">
        <is>
          <t>팔꿈치 굽힘(팔꿈치의 '순수' 주작용근, 회내외 위치 무관)</t>
        </is>
      </c>
      <c r="H4" s="24" t="inlineStr">
        <is>
          <t>근육피부신경(C5-C6)+노신경 일부(C7)</t>
        </is>
      </c>
      <c r="I4" s="24" t="inlineStr">
        <is>
          <t>위팔동맥·노쪽되돌이동맥</t>
        </is>
      </c>
      <c r="J4" s="24" t="inlineStr">
        <is>
          <t>위팔두갈래근 안쪽·가쪽 깊은곳에서 촉진</t>
        </is>
      </c>
      <c r="K4" s="24" t="inlineStr">
        <is>
          <t>이중신경지배(근육피부+노신경)로 임상적으로 자주 언급</t>
        </is>
      </c>
      <c r="L4" s="25" t="n"/>
    </row>
    <row r="5" ht="37.5" customHeight="1">
      <c r="A5" s="22" t="inlineStr">
        <is>
          <t>☐</t>
        </is>
      </c>
      <c r="B5" s="23" t="inlineStr">
        <is>
          <t>뒤칸(폄근)</t>
        </is>
      </c>
      <c r="C5" s="24" t="inlineStr">
        <is>
          <t>위팔세갈래근</t>
        </is>
      </c>
      <c r="D5" s="25" t="inlineStr">
        <is>
          <t>Triceps brachii</t>
        </is>
      </c>
      <c r="E5" s="24" t="inlineStr">
        <is>
          <t>긴갈래-어깨뼈 관절아래결절 / 가쪽갈래-노신경고랑 위쪽 / 안쪽갈래-노신경고랑 아래쪽</t>
        </is>
      </c>
      <c r="F5" s="24" t="inlineStr">
        <is>
          <t>자뼈 팔꿈치머리</t>
        </is>
      </c>
      <c r="G5" s="24" t="inlineStr">
        <is>
          <t>팔꿈치 폄(주작용근), 긴갈래는 어깨 폄·모음 보조</t>
        </is>
      </c>
      <c r="H5" s="24" t="inlineStr">
        <is>
          <t>노신경(C6-C8)</t>
        </is>
      </c>
      <c r="I5" s="24" t="inlineStr">
        <is>
          <t>깊은위팔동맥</t>
        </is>
      </c>
      <c r="J5" s="24" t="inlineStr">
        <is>
          <t>위팔 뒤쪽, 팔을 펼 때 세 갈래 윤곽 촉진</t>
        </is>
      </c>
      <c r="K5" s="24" t="inlineStr">
        <is>
          <t>근육주사(삼각근 대신 사용 시), 노신경이 안쪽·가쪽갈래 사이 나선고랑을 주행(위팔뼈 골절 시 손상 위험)</t>
        </is>
      </c>
      <c r="L5" s="25" t="n"/>
    </row>
    <row r="6" ht="27.75" customHeight="1">
      <c r="A6" s="22" t="inlineStr">
        <is>
          <t>☐</t>
        </is>
      </c>
      <c r="B6" s="23" t="inlineStr">
        <is>
          <t>뒤칸(폄근)</t>
        </is>
      </c>
      <c r="C6" s="24" t="inlineStr">
        <is>
          <t>팔꿈치근</t>
        </is>
      </c>
      <c r="D6" s="25" t="inlineStr">
        <is>
          <t>Anconeus</t>
        </is>
      </c>
      <c r="E6" s="24" t="inlineStr">
        <is>
          <t>위팔뼈 가쪽위관절융기</t>
        </is>
      </c>
      <c r="F6" s="24" t="inlineStr">
        <is>
          <t>자뼈 팔꿈치머리 가쪽면·몸쪽뒷면</t>
        </is>
      </c>
      <c r="G6" s="24" t="inlineStr">
        <is>
          <t>팔꿈치 폄 보조, 관절주머니 긴장 유지(안정화)</t>
        </is>
      </c>
      <c r="H6" s="24" t="inlineStr">
        <is>
          <t>노신경(C7-C8, T1)</t>
        </is>
      </c>
      <c r="I6" s="24" t="inlineStr">
        <is>
          <t>깊은위팔동맥의 중간쪽곁동맥</t>
        </is>
      </c>
      <c r="J6" s="24" t="inlineStr">
        <is>
          <t>팔꿈치머리 가쪽의 작은 삼각형 부위에서 촉진</t>
        </is>
      </c>
      <c r="K6" s="24" t="inlineStr">
        <is>
          <t>위팔세갈래근의 '연장'처럼 작용, 팔꿈치 뒤가쪽 접근 수술의 랜드마크</t>
        </is>
      </c>
      <c r="L6" s="25" t="n"/>
    </row>
  </sheetData>
  <autoFilter ref="A2:L6"/>
  <mergeCells count="1">
    <mergeCell ref="A1:L1"/>
  </mergeCells>
  <dataValidations count="1">
    <dataValidation sqref="A3:A6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C9915F"/>
    <outlinePr summaryBelow="1" summaryRight="1"/>
    <pageSetUpPr/>
  </sheetPr>
  <dimension ref="A1:L2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5" t="inlineStr">
        <is>
          <t>아래팔 (Forearm)  —  근육 학습 체크리스트  (총 19개)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앞칸 얕은층</t>
        </is>
      </c>
      <c r="C3" s="24" t="inlineStr">
        <is>
          <t>원엎침근</t>
        </is>
      </c>
      <c r="D3" s="25" t="inlineStr">
        <is>
          <t>Pronator teres</t>
        </is>
      </c>
      <c r="E3" s="24" t="inlineStr">
        <is>
          <t>위팔갈래-안쪽위관절융기 / 자갈래-자뼈갈고리돌기</t>
        </is>
      </c>
      <c r="F3" s="24" t="inlineStr">
        <is>
          <t>노뼈 가쪽면 중간</t>
        </is>
      </c>
      <c r="G3" s="24" t="inlineStr">
        <is>
          <t>아래팔 엎침, 팔꿈치 굽힘 보조</t>
        </is>
      </c>
      <c r="H3" s="24" t="inlineStr">
        <is>
          <t>정중신경(C6-C7)</t>
        </is>
      </c>
      <c r="I3" s="24" t="inlineStr">
        <is>
          <t>노쪽되돌이동맥</t>
        </is>
      </c>
      <c r="J3" s="24" t="inlineStr">
        <is>
          <t>팔꿈치 앞안쪽에서 엎침 저항 시 촉진</t>
        </is>
      </c>
      <c r="K3" s="24" t="inlineStr">
        <is>
          <t>정중신경이 두 갈래(위팔갈래·자갈래) 사이를 통과 → 회내근증후군의 압박부위</t>
        </is>
      </c>
      <c r="L3" s="25" t="n"/>
    </row>
    <row r="4" ht="27.75" customHeight="1">
      <c r="A4" s="22" t="inlineStr">
        <is>
          <t>☐</t>
        </is>
      </c>
      <c r="B4" s="23" t="inlineStr">
        <is>
          <t>앞칸 얕은층</t>
        </is>
      </c>
      <c r="C4" s="24" t="inlineStr">
        <is>
          <t>노쪽손목굽힘근</t>
        </is>
      </c>
      <c r="D4" s="25" t="inlineStr">
        <is>
          <t>Flexor carpi radialis</t>
        </is>
      </c>
      <c r="E4" s="24" t="inlineStr">
        <is>
          <t>안쪽위관절융기</t>
        </is>
      </c>
      <c r="F4" s="25" t="inlineStr">
        <is>
          <t>2번손허리뼈바닥(±3번)</t>
        </is>
      </c>
      <c r="G4" s="24" t="inlineStr">
        <is>
          <t>손목 굽힘, 노쪽 치우침(요측편위)</t>
        </is>
      </c>
      <c r="H4" s="24" t="inlineStr">
        <is>
          <t>정중신경(C6-C7)</t>
        </is>
      </c>
      <c r="I4" s="24" t="inlineStr">
        <is>
          <t>노동맥</t>
        </is>
      </c>
      <c r="J4" s="24" t="inlineStr">
        <is>
          <t>손목 앞쪽 노쪽 힘줄로 뚜렷이 촉진(노동맥 촉진 기준점 안쪽)</t>
        </is>
      </c>
      <c r="K4" s="24" t="inlineStr">
        <is>
          <t>손목 굴 증후군 수술 시 정중선 표지, 힘줄이 노동맥 촉진의 안쪽 경계</t>
        </is>
      </c>
      <c r="L4" s="25" t="n"/>
    </row>
    <row r="5" ht="37.5" customHeight="1">
      <c r="A5" s="22" t="inlineStr">
        <is>
          <t>☐</t>
        </is>
      </c>
      <c r="B5" s="23" t="inlineStr">
        <is>
          <t>앞칸 얕은층</t>
        </is>
      </c>
      <c r="C5" s="24" t="inlineStr">
        <is>
          <t>긴손바닥근</t>
        </is>
      </c>
      <c r="D5" s="25" t="inlineStr">
        <is>
          <t>Palmaris longus</t>
        </is>
      </c>
      <c r="E5" s="24" t="inlineStr">
        <is>
          <t>안쪽위관절융기</t>
        </is>
      </c>
      <c r="F5" s="24" t="inlineStr">
        <is>
          <t>손바닥널힘줄</t>
        </is>
      </c>
      <c r="G5" s="24" t="inlineStr">
        <is>
          <t>손목 굽힘, 손바닥널힘줄 긴장</t>
        </is>
      </c>
      <c r="H5" s="24" t="inlineStr">
        <is>
          <t>정중신경(C7-C8, T1)</t>
        </is>
      </c>
      <c r="I5" s="24" t="inlineStr">
        <is>
          <t>자동맥</t>
        </is>
      </c>
      <c r="J5" s="24" t="inlineStr">
        <is>
          <t>엄지·새끼 맞대고 손목 굽히면 손목 정중앙 얇은 힘줄로 촉진</t>
        </is>
      </c>
      <c r="K5" s="24" t="inlineStr">
        <is>
          <t>인구의 약 10-15%에서 결여(해부학적 변이), 결여 시에도 기능 저하 없음 — 힘줄이식(예: 인대재건) 공여부로 흔히 사용</t>
        </is>
      </c>
      <c r="L5" s="25" t="n"/>
    </row>
    <row r="6" ht="27.75" customHeight="1">
      <c r="A6" s="22" t="inlineStr">
        <is>
          <t>☐</t>
        </is>
      </c>
      <c r="B6" s="23" t="inlineStr">
        <is>
          <t>앞칸 얕은층</t>
        </is>
      </c>
      <c r="C6" s="24" t="inlineStr">
        <is>
          <t>자쪽손목굽힘근</t>
        </is>
      </c>
      <c r="D6" s="25" t="inlineStr">
        <is>
          <t>Flexor carpi ulnaris</t>
        </is>
      </c>
      <c r="E6" s="24" t="inlineStr">
        <is>
          <t>위팔갈래-안쪽위관절융기 / 자갈래-팔꿈치머리·자뼈뒤모서리</t>
        </is>
      </c>
      <c r="F6" s="24" t="inlineStr">
        <is>
          <t>콩알뼈, 갈고리뼈, 5번손허리뼈바닥</t>
        </is>
      </c>
      <c r="G6" s="24" t="inlineStr">
        <is>
          <t>손목 굽힘, 자쪽 치우침(척측편위)</t>
        </is>
      </c>
      <c r="H6" s="24" t="inlineStr">
        <is>
          <t>자신경(C7-C8, T1)</t>
        </is>
      </c>
      <c r="I6" s="24" t="inlineStr">
        <is>
          <t>자동맥</t>
        </is>
      </c>
      <c r="J6" s="24" t="inlineStr">
        <is>
          <t>손목 앞안쪽 콩알뼈로 이어지는 힘줄 촉진</t>
        </is>
      </c>
      <c r="K6" s="24" t="inlineStr">
        <is>
          <t>자신경이 이 근육의 두 갈래 사이(팔꿈치터널) 지나감 → 자신경마비 호발부위</t>
        </is>
      </c>
      <c r="L6" s="25" t="n"/>
    </row>
    <row r="7" ht="27.75" customHeight="1">
      <c r="A7" s="22" t="inlineStr">
        <is>
          <t>☐</t>
        </is>
      </c>
      <c r="B7" s="23" t="inlineStr">
        <is>
          <t>앞칸 중간층</t>
        </is>
      </c>
      <c r="C7" s="24" t="inlineStr">
        <is>
          <t>얕은손가락굽힘근</t>
        </is>
      </c>
      <c r="D7" s="25" t="inlineStr">
        <is>
          <t>Flexor digitorum superficialis</t>
        </is>
      </c>
      <c r="E7" s="24" t="inlineStr">
        <is>
          <t>안쪽위관절융기, 자뼈갈고리돌기, 노뼈위앞면</t>
        </is>
      </c>
      <c r="F7" s="25" t="inlineStr">
        <is>
          <t>2-5번 손가락 중간마디뼈(양쪽으로 갈라져 부착)</t>
        </is>
      </c>
      <c r="G7" s="24" t="inlineStr">
        <is>
          <t>손허리손가락관절(MCP)·몸쪽손가락뼈사이관절(PIP) 굽힘</t>
        </is>
      </c>
      <c r="H7" s="24" t="inlineStr">
        <is>
          <t>정중신경(C7-T1)</t>
        </is>
      </c>
      <c r="I7" s="24" t="inlineStr">
        <is>
          <t>자동맥</t>
        </is>
      </c>
      <c r="J7" s="24" t="inlineStr">
        <is>
          <t>손바닥쪽 손목 중앙 깊은층, 개별 손가락 PIP 굽힘시켜 확인</t>
        </is>
      </c>
      <c r="K7" s="24" t="inlineStr">
        <is>
          <t>임상: PIP만 굽히고 나머지 손가락 고정 시 해당 힘줄 기능 단독 검사 가능</t>
        </is>
      </c>
      <c r="L7" s="25" t="n"/>
    </row>
    <row r="8" ht="27.75" customHeight="1">
      <c r="A8" s="22" t="inlineStr">
        <is>
          <t>☐</t>
        </is>
      </c>
      <c r="B8" s="23" t="inlineStr">
        <is>
          <t>앞칸 깊은층</t>
        </is>
      </c>
      <c r="C8" s="24" t="inlineStr">
        <is>
          <t>깊은손가락굽힘근</t>
        </is>
      </c>
      <c r="D8" s="25" t="inlineStr">
        <is>
          <t>Flexor digitorum profundus</t>
        </is>
      </c>
      <c r="E8" s="24" t="inlineStr">
        <is>
          <t>자뼈앞면·뼈사이막</t>
        </is>
      </c>
      <c r="F8" s="25" t="inlineStr">
        <is>
          <t>2-5번 손가락 끝마디뼈</t>
        </is>
      </c>
      <c r="G8" s="24" t="inlineStr">
        <is>
          <t>먼쪽손가락뼈사이관절(DIP) 굽힘(유일한 근육)</t>
        </is>
      </c>
      <c r="H8" s="24" t="inlineStr">
        <is>
          <t>가쪽(2·3번)-정중신경(뼈사이앞신경) / 안쪽(4·5번)-자신경</t>
        </is>
      </c>
      <c r="I8" s="24" t="inlineStr">
        <is>
          <t>자동맥·앞뼈사이동맥</t>
        </is>
      </c>
      <c r="J8" s="24" t="inlineStr">
        <is>
          <t>얕은손가락굽힘근 심층, DIP만 굽혀 확인</t>
        </is>
      </c>
      <c r="K8" s="24" t="inlineStr">
        <is>
          <t>임상: DIP 굽힘 검사로 단독 기능 확인, 손가락 야구손상(jersey finger)과 연관</t>
        </is>
      </c>
      <c r="L8" s="25" t="n"/>
    </row>
    <row r="9" ht="27.75" customHeight="1">
      <c r="A9" s="22" t="inlineStr">
        <is>
          <t>☐</t>
        </is>
      </c>
      <c r="B9" s="23" t="inlineStr">
        <is>
          <t>앞칸 깊은층</t>
        </is>
      </c>
      <c r="C9" s="24" t="inlineStr">
        <is>
          <t>긴엄지굽힘근</t>
        </is>
      </c>
      <c r="D9" s="25" t="inlineStr">
        <is>
          <t>Flexor pollicis longus</t>
        </is>
      </c>
      <c r="E9" s="24" t="inlineStr">
        <is>
          <t>노뼈앞면·뼈사이막</t>
        </is>
      </c>
      <c r="F9" s="24" t="inlineStr">
        <is>
          <t>엄지 끝마디뼈바닥</t>
        </is>
      </c>
      <c r="G9" s="24" t="inlineStr">
        <is>
          <t>엄지 모든 관절 굽힘</t>
        </is>
      </c>
      <c r="H9" s="24" t="inlineStr">
        <is>
          <t>정중신경(뼈사이앞신경, C8-T1)</t>
        </is>
      </c>
      <c r="I9" s="24" t="inlineStr">
        <is>
          <t>앞뼈사이동맥</t>
        </is>
      </c>
      <c r="J9" s="24" t="inlineStr">
        <is>
          <t>엄지 두덩 근위부 깊은곳(직접 촉진 어려움)</t>
        </is>
      </c>
      <c r="K9" s="24" t="inlineStr">
        <is>
          <t>뼈사이앞신경증후군에서 OK사인(엄지·검지 끝 맞대기) 불가로 진단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앞칸 깊은층</t>
        </is>
      </c>
      <c r="C10" s="24" t="inlineStr">
        <is>
          <t>네모엎침근</t>
        </is>
      </c>
      <c r="D10" s="25" t="inlineStr">
        <is>
          <t>Pronator quadratus</t>
        </is>
      </c>
      <c r="E10" s="24" t="inlineStr">
        <is>
          <t>자뼈먼쪽앞면</t>
        </is>
      </c>
      <c r="F10" s="24" t="inlineStr">
        <is>
          <t>노뼈먼쪽앞면</t>
        </is>
      </c>
      <c r="G10" s="24" t="inlineStr">
        <is>
          <t>아래팔 엎침(주작용근)</t>
        </is>
      </c>
      <c r="H10" s="24" t="inlineStr">
        <is>
          <t>정중신경(뼈사이앞신경, C8-T1)</t>
        </is>
      </c>
      <c r="I10" s="24" t="inlineStr">
        <is>
          <t>앞뼈사이동맥</t>
        </is>
      </c>
      <c r="J10" s="24" t="inlineStr">
        <is>
          <t>손목 바로 위 앞면 깊은곳(직접 촉진 어려움)</t>
        </is>
      </c>
      <c r="K10" s="24" t="inlineStr">
        <is>
          <t>원엎침근보다 실제 엎침의 주역, 노뼈 원위부 골절 시 손상 흔함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뒤칸 얕은층</t>
        </is>
      </c>
      <c r="C11" s="24" t="inlineStr">
        <is>
          <t>위팔노근</t>
        </is>
      </c>
      <c r="D11" s="25" t="inlineStr">
        <is>
          <t>Brachioradialis</t>
        </is>
      </c>
      <c r="E11" s="24" t="inlineStr">
        <is>
          <t>위팔뼈 가쪽관절융기위능선</t>
        </is>
      </c>
      <c r="F11" s="24" t="inlineStr">
        <is>
          <t>노뼈 붓돌기</t>
        </is>
      </c>
      <c r="G11" s="24" t="inlineStr">
        <is>
          <t>팔꿈치 굽힘(아래팔 중간위치에서 가장 강력)</t>
        </is>
      </c>
      <c r="H11" s="24" t="inlineStr">
        <is>
          <t>노신경(C5-C6)</t>
        </is>
      </c>
      <c r="I11" s="24" t="inlineStr">
        <is>
          <t>노쪽곁동맥</t>
        </is>
      </c>
      <c r="J11" s="24" t="inlineStr">
        <is>
          <t>팔꿈치 가쪽에서 저항굽힘 시 두드러진 융기로 촉진</t>
        </is>
      </c>
      <c r="K11" s="24" t="inlineStr">
        <is>
          <t>노신경 지배지만 기능은 굽힘근(예외적 근육으로 시험 단골)</t>
        </is>
      </c>
      <c r="L11" s="25" t="n"/>
    </row>
    <row r="12" ht="27.75" customHeight="1">
      <c r="A12" s="22" t="inlineStr">
        <is>
          <t>☐</t>
        </is>
      </c>
      <c r="B12" s="23" t="inlineStr">
        <is>
          <t>뒤칸 얕은층</t>
        </is>
      </c>
      <c r="C12" s="24" t="inlineStr">
        <is>
          <t>긴노쪽손목폄근</t>
        </is>
      </c>
      <c r="D12" s="25" t="inlineStr">
        <is>
          <t>Extensor carpi radialis longus</t>
        </is>
      </c>
      <c r="E12" s="24" t="inlineStr">
        <is>
          <t>가쪽관절융기위능선</t>
        </is>
      </c>
      <c r="F12" s="25" t="inlineStr">
        <is>
          <t>2번손허리뼈바닥</t>
        </is>
      </c>
      <c r="G12" s="24" t="inlineStr">
        <is>
          <t>손목 폄, 노쪽 치우침</t>
        </is>
      </c>
      <c r="H12" s="24" t="inlineStr">
        <is>
          <t>노신경(C6-C7)</t>
        </is>
      </c>
      <c r="I12" s="24" t="inlineStr">
        <is>
          <t>노쪽되돌이동맥</t>
        </is>
      </c>
      <c r="J12" s="24" t="inlineStr">
        <is>
          <t>위팔노근 뒤쪽, 손목 폄 시 아래팔 노쪽 능선 촉진</t>
        </is>
      </c>
      <c r="K12" s="24" t="inlineStr">
        <is>
          <t>테니스엘보(가쪽위관절융기염) 관련근 중 하나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뒤칸 얕은층</t>
        </is>
      </c>
      <c r="C13" s="24" t="inlineStr">
        <is>
          <t>짧은노쪽손목폄근</t>
        </is>
      </c>
      <c r="D13" s="25" t="inlineStr">
        <is>
          <t>Extensor carpi radialis brevis</t>
        </is>
      </c>
      <c r="E13" s="24" t="inlineStr">
        <is>
          <t>가쪽위관절융기(공통폄근기시)</t>
        </is>
      </c>
      <c r="F13" s="25" t="inlineStr">
        <is>
          <t>3번손허리뼈바닥</t>
        </is>
      </c>
      <c r="G13" s="24" t="inlineStr">
        <is>
          <t>손목 폄</t>
        </is>
      </c>
      <c r="H13" s="24" t="inlineStr">
        <is>
          <t>노신경 깊은가지(C7-C8)</t>
        </is>
      </c>
      <c r="I13" s="24" t="inlineStr">
        <is>
          <t>노쪽되돌이동맥</t>
        </is>
      </c>
      <c r="J13" s="24" t="inlineStr">
        <is>
          <t>긴노쪽손목폄근 심층</t>
        </is>
      </c>
      <c r="K13" s="24" t="inlineStr">
        <is>
          <t>테니스엘보(외측상과염)의 가장 흔한 병변 근육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뒤칸 얕은층</t>
        </is>
      </c>
      <c r="C14" s="24" t="inlineStr">
        <is>
          <t>손가락폄근</t>
        </is>
      </c>
      <c r="D14" s="25" t="inlineStr">
        <is>
          <t>Extensor digitorum</t>
        </is>
      </c>
      <c r="E14" s="24" t="inlineStr">
        <is>
          <t>가쪽위관절융기(공통폄근기시)</t>
        </is>
      </c>
      <c r="F14" s="25" t="inlineStr">
        <is>
          <t>2-5번 손가락 폄근확장부</t>
        </is>
      </c>
      <c r="G14" s="24" t="inlineStr">
        <is>
          <t>손가락 폄(주로 MCP 관절)</t>
        </is>
      </c>
      <c r="H14" s="24" t="inlineStr">
        <is>
          <t>뒤뼈사이신경(후골간신경, 노신경 깊은가지, C7-C8)</t>
        </is>
      </c>
      <c r="I14" s="24" t="inlineStr">
        <is>
          <t>뒤뼈사이동맥</t>
        </is>
      </c>
      <c r="J14" s="24" t="inlineStr">
        <is>
          <t>손등 중앙, 손가락 펼 때 네 힘줄이 뚜렷이 촉진</t>
        </is>
      </c>
      <c r="K14" s="24" t="inlineStr">
        <is>
          <t>손등 폄근지지띠 아래 힘줄 배열 학습의 기준근</t>
        </is>
      </c>
      <c r="L14" s="25" t="n"/>
    </row>
    <row r="15" ht="27.75" customHeight="1">
      <c r="A15" s="22" t="inlineStr">
        <is>
          <t>☐</t>
        </is>
      </c>
      <c r="B15" s="23" t="inlineStr">
        <is>
          <t>뒤칸 얕은층</t>
        </is>
      </c>
      <c r="C15" s="24" t="inlineStr">
        <is>
          <t>새끼폄근</t>
        </is>
      </c>
      <c r="D15" s="25" t="inlineStr">
        <is>
          <t>Extensor digiti minimi</t>
        </is>
      </c>
      <c r="E15" s="24" t="inlineStr">
        <is>
          <t>가쪽위관절융기</t>
        </is>
      </c>
      <c r="F15" s="24" t="inlineStr">
        <is>
          <t>새끼손가락 폄근확장부</t>
        </is>
      </c>
      <c r="G15" s="24" t="inlineStr">
        <is>
          <t>새끼손가락 폄(단독 폄 가능)</t>
        </is>
      </c>
      <c r="H15" s="24" t="inlineStr">
        <is>
          <t>뒤뼈사이신경</t>
        </is>
      </c>
      <c r="I15" s="24" t="inlineStr">
        <is>
          <t>뒤뼈사이동맥</t>
        </is>
      </c>
      <c r="J15" s="24" t="inlineStr">
        <is>
          <t>손가락폄근 힘줄 자쪽에서 촉진</t>
        </is>
      </c>
      <c r="K15" s="24" t="inlineStr">
        <is>
          <t>새끼손가락 단독 폄 검사로 기능 확인</t>
        </is>
      </c>
      <c r="L15" s="25" t="n"/>
    </row>
    <row r="16" ht="27.75" customHeight="1">
      <c r="A16" s="22" t="inlineStr">
        <is>
          <t>☐</t>
        </is>
      </c>
      <c r="B16" s="23" t="inlineStr">
        <is>
          <t>뒤칸 얕은층</t>
        </is>
      </c>
      <c r="C16" s="24" t="inlineStr">
        <is>
          <t>자쪽손목폄근</t>
        </is>
      </c>
      <c r="D16" s="25" t="inlineStr">
        <is>
          <t>Extensor carpi ulnaris</t>
        </is>
      </c>
      <c r="E16" s="24" t="inlineStr">
        <is>
          <t>가쪽위관절융기·자뼈뒤모서리</t>
        </is>
      </c>
      <c r="F16" s="25" t="inlineStr">
        <is>
          <t>5번손허리뼈바닥</t>
        </is>
      </c>
      <c r="G16" s="24" t="inlineStr">
        <is>
          <t>손목 폄, 자쪽 치우침</t>
        </is>
      </c>
      <c r="H16" s="24" t="inlineStr">
        <is>
          <t>뒤뼈사이신경</t>
        </is>
      </c>
      <c r="I16" s="24" t="inlineStr">
        <is>
          <t>뒤뼈사이동맥</t>
        </is>
      </c>
      <c r="J16" s="24" t="inlineStr">
        <is>
          <t>손목 등쪽 자쪽 모서리에서 촉진</t>
        </is>
      </c>
      <c r="K16" s="24" t="inlineStr">
        <is>
          <t>손목 자쪽 통증(TFCC 손상)과 자주 감별해야 하는 근육</t>
        </is>
      </c>
      <c r="L16" s="25" t="n"/>
    </row>
    <row r="17" ht="37.5" customHeight="1">
      <c r="A17" s="22" t="inlineStr">
        <is>
          <t>☐</t>
        </is>
      </c>
      <c r="B17" s="23" t="inlineStr">
        <is>
          <t>뒤칸 깊은층</t>
        </is>
      </c>
      <c r="C17" s="24" t="inlineStr">
        <is>
          <t>손뒤침근</t>
        </is>
      </c>
      <c r="D17" s="25" t="inlineStr">
        <is>
          <t>Supinator</t>
        </is>
      </c>
      <c r="E17" s="24" t="inlineStr">
        <is>
          <t>가쪽위관절융기·노쪽곁인대·자뼈 뒤침근능선</t>
        </is>
      </c>
      <c r="F17" s="24" t="inlineStr">
        <is>
          <t>노뼈 위1/3 가쪽면</t>
        </is>
      </c>
      <c r="G17" s="24" t="inlineStr">
        <is>
          <t>아래팔 뒤침</t>
        </is>
      </c>
      <c r="H17" s="24" t="inlineStr">
        <is>
          <t>노신경 깊은가지(C5-C6)</t>
        </is>
      </c>
      <c r="I17" s="24" t="inlineStr">
        <is>
          <t>노쪽되돌이동맥</t>
        </is>
      </c>
      <c r="J17" s="24" t="inlineStr">
        <is>
          <t>팔꿈치 가쪽 아래 깊은곳(직접 촉진 어려움)</t>
        </is>
      </c>
      <c r="K17" s="24" t="inlineStr">
        <is>
          <t>노신경 깊은가지가 이 근육의 아케이드(Frohse 아케이드)를 통과 → 뒤골간신경증후군의 압박부위</t>
        </is>
      </c>
      <c r="L17" s="25" t="n"/>
    </row>
    <row r="18" ht="37.5" customHeight="1">
      <c r="A18" s="22" t="inlineStr">
        <is>
          <t>☐</t>
        </is>
      </c>
      <c r="B18" s="23" t="inlineStr">
        <is>
          <t>뒤칸 깊은층</t>
        </is>
      </c>
      <c r="C18" s="24" t="inlineStr">
        <is>
          <t>긴엄지벌림근</t>
        </is>
      </c>
      <c r="D18" s="25" t="inlineStr">
        <is>
          <t>Abductor pollicis longus</t>
        </is>
      </c>
      <c r="E18" s="24" t="inlineStr">
        <is>
          <t>노뼈·자뼈 뒤면·뼈사이막</t>
        </is>
      </c>
      <c r="F18" s="25" t="inlineStr">
        <is>
          <t>1번손허리뼈바닥</t>
        </is>
      </c>
      <c r="G18" s="24" t="inlineStr">
        <is>
          <t>엄지 벌림, 손목 노쪽편위 보조</t>
        </is>
      </c>
      <c r="H18" s="24" t="inlineStr">
        <is>
          <t>뒤뼈사이신경</t>
        </is>
      </c>
      <c r="I18" s="24" t="inlineStr">
        <is>
          <t>뒤뼈사이동맥</t>
        </is>
      </c>
      <c r="J18" s="24" t="inlineStr">
        <is>
          <t>손목 노쪽, 해부학적코담배갑(anatomical snuffbox) 앞쪽 경계로 촉진</t>
        </is>
      </c>
      <c r="K18" s="24" t="inlineStr">
        <is>
          <t>드퀘르벵 건초염(도구엽 협착성건초염)의 이환 힘줄</t>
        </is>
      </c>
      <c r="L18" s="25" t="n"/>
    </row>
    <row r="19" ht="27.75" customHeight="1">
      <c r="A19" s="22" t="inlineStr">
        <is>
          <t>☐</t>
        </is>
      </c>
      <c r="B19" s="23" t="inlineStr">
        <is>
          <t>뒤칸 깊은층</t>
        </is>
      </c>
      <c r="C19" s="24" t="inlineStr">
        <is>
          <t>짧은엄지폄근</t>
        </is>
      </c>
      <c r="D19" s="25" t="inlineStr">
        <is>
          <t>Extensor pollicis brevis</t>
        </is>
      </c>
      <c r="E19" s="24" t="inlineStr">
        <is>
          <t>노뼈뒤면·뼈사이막</t>
        </is>
      </c>
      <c r="F19" s="24" t="inlineStr">
        <is>
          <t>엄지 첫마디뼈바닥</t>
        </is>
      </c>
      <c r="G19" s="24" t="inlineStr">
        <is>
          <t>엄지 손허리손가락관절(MCP) 폄</t>
        </is>
      </c>
      <c r="H19" s="24" t="inlineStr">
        <is>
          <t>뒤뼈사이신경</t>
        </is>
      </c>
      <c r="I19" s="24" t="inlineStr">
        <is>
          <t>뒤뼈사이동맥</t>
        </is>
      </c>
      <c r="J19" s="24" t="inlineStr">
        <is>
          <t>해부학적코담배갑 앞쪽 경계(긴벌림근과 나란히)</t>
        </is>
      </c>
      <c r="K19" s="24" t="inlineStr">
        <is>
          <t>드퀘르벵 건초염에서 긴엄지벌림근과 함께 이환</t>
        </is>
      </c>
      <c r="L19" s="25" t="n"/>
    </row>
    <row r="20" ht="27.75" customHeight="1">
      <c r="A20" s="22" t="inlineStr">
        <is>
          <t>☐</t>
        </is>
      </c>
      <c r="B20" s="23" t="inlineStr">
        <is>
          <t>뒤칸 깊은층</t>
        </is>
      </c>
      <c r="C20" s="24" t="inlineStr">
        <is>
          <t>긴엄지폄근</t>
        </is>
      </c>
      <c r="D20" s="25" t="inlineStr">
        <is>
          <t>Extensor pollicis longus</t>
        </is>
      </c>
      <c r="E20" s="24" t="inlineStr">
        <is>
          <t>자뼈뒤면·뼈사이막</t>
        </is>
      </c>
      <c r="F20" s="24" t="inlineStr">
        <is>
          <t>엄지 끝마디뼈바닥</t>
        </is>
      </c>
      <c r="G20" s="24" t="inlineStr">
        <is>
          <t>엄지 모든 관절 폄</t>
        </is>
      </c>
      <c r="H20" s="24" t="inlineStr">
        <is>
          <t>뒤뼈사이신경</t>
        </is>
      </c>
      <c r="I20" s="24" t="inlineStr">
        <is>
          <t>뒤뼈사이동맥</t>
        </is>
      </c>
      <c r="J20" s="24" t="inlineStr">
        <is>
          <t>해부학적코담배갑 뒤쪽(자쪽) 경계로 촉진</t>
        </is>
      </c>
      <c r="K20" s="24" t="inlineStr">
        <is>
          <t>리스터결절을 축(도르래)으로 삼아 주행 — 원위 요골골절 후 지연파열 호발</t>
        </is>
      </c>
      <c r="L20" s="25" t="n"/>
    </row>
    <row r="21" ht="27.75" customHeight="1">
      <c r="A21" s="22" t="inlineStr">
        <is>
          <t>☐</t>
        </is>
      </c>
      <c r="B21" s="23" t="inlineStr">
        <is>
          <t>뒤칸 깊은층</t>
        </is>
      </c>
      <c r="C21" s="24" t="inlineStr">
        <is>
          <t>집게폄근</t>
        </is>
      </c>
      <c r="D21" s="25" t="inlineStr">
        <is>
          <t>Extensor indicis</t>
        </is>
      </c>
      <c r="E21" s="24" t="inlineStr">
        <is>
          <t>자뼈뒤면·뼈사이막</t>
        </is>
      </c>
      <c r="F21" s="24" t="inlineStr">
        <is>
          <t>집게손가락 폄근확장부</t>
        </is>
      </c>
      <c r="G21" s="24" t="inlineStr">
        <is>
          <t>집게손가락 단독 폄(가리키는 동작)</t>
        </is>
      </c>
      <c r="H21" s="24" t="inlineStr">
        <is>
          <t>뒤뼈사이신경</t>
        </is>
      </c>
      <c r="I21" s="24" t="inlineStr">
        <is>
          <t>뒤뼈사이동맥</t>
        </is>
      </c>
      <c r="J21" s="24" t="inlineStr">
        <is>
          <t>손등 집게손가락 힘줄, 다른 손가락 굽힌 채 집게만 펴서 확인</t>
        </is>
      </c>
      <c r="K21" s="24" t="inlineStr">
        <is>
          <t>가리키는 손가락 동작의 해부학적 근거</t>
        </is>
      </c>
      <c r="L21" s="25" t="n"/>
    </row>
  </sheetData>
  <autoFilter ref="A2:L21"/>
  <mergeCells count="1">
    <mergeCell ref="A1:L1"/>
  </mergeCells>
  <dataValidations count="1">
    <dataValidation sqref="A3:A21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B08FC9"/>
    <outlinePr summaryBelow="1" summaryRight="1"/>
    <pageSetUpPr/>
  </sheetPr>
  <dimension ref="A1:L1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4" t="inlineStr">
        <is>
          <t>손 (Hand)  —  근육 학습 체크리스트  (총 11개)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엄지두덩근</t>
        </is>
      </c>
      <c r="C3" s="24" t="inlineStr">
        <is>
          <t>짧은엄지벌림근</t>
        </is>
      </c>
      <c r="D3" s="25" t="inlineStr">
        <is>
          <t>Abductor pollicis brevis</t>
        </is>
      </c>
      <c r="E3" s="24" t="inlineStr">
        <is>
          <t>굽힘근지지띠, 손배뼈결절</t>
        </is>
      </c>
      <c r="F3" s="24" t="inlineStr">
        <is>
          <t>엄지 첫마디뼈바닥(가쪽)</t>
        </is>
      </c>
      <c r="G3" s="24" t="inlineStr">
        <is>
          <t>엄지 벌림</t>
        </is>
      </c>
      <c r="H3" s="24" t="inlineStr">
        <is>
          <t>정중신경(C8-T1)</t>
        </is>
      </c>
      <c r="I3" s="24" t="inlineStr">
        <is>
          <t>얕은손바닥동맥활</t>
        </is>
      </c>
      <c r="J3" s="24" t="inlineStr">
        <is>
          <t>엄지두덩 중 가장 얕은 융기로 촉진</t>
        </is>
      </c>
      <c r="K3" s="24" t="inlineStr">
        <is>
          <t>정중신경 지배 → 손목굴증후군에서 무지구 위축(엄지벌림 약화)의 대표 소견</t>
        </is>
      </c>
      <c r="L3" s="25" t="n"/>
    </row>
    <row r="4" ht="27.75" customHeight="1">
      <c r="A4" s="22" t="inlineStr">
        <is>
          <t>☐</t>
        </is>
      </c>
      <c r="B4" s="23" t="inlineStr">
        <is>
          <t>엄지두덩근</t>
        </is>
      </c>
      <c r="C4" s="24" t="inlineStr">
        <is>
          <t>짧은엄지굽힘근</t>
        </is>
      </c>
      <c r="D4" s="25" t="inlineStr">
        <is>
          <t>Flexor pollicis brevis</t>
        </is>
      </c>
      <c r="E4" s="24" t="inlineStr">
        <is>
          <t>굽힘근지지띠, 큰마름뼈</t>
        </is>
      </c>
      <c r="F4" s="24" t="inlineStr">
        <is>
          <t>엄지 첫마디뼈바닥</t>
        </is>
      </c>
      <c r="G4" s="24" t="inlineStr">
        <is>
          <t>엄지 손허리손가락관절(MCP) 굽힘</t>
        </is>
      </c>
      <c r="H4" s="24" t="inlineStr">
        <is>
          <t>얕은갈래-정중신경 / 깊은갈래-자신경</t>
        </is>
      </c>
      <c r="I4" s="24" t="inlineStr">
        <is>
          <t>얕은손바닥동맥활</t>
        </is>
      </c>
      <c r="J4" s="24" t="inlineStr">
        <is>
          <t>짧은엄지벌림근 안쪽에서 촉진</t>
        </is>
      </c>
      <c r="K4" s="24" t="inlineStr">
        <is>
          <t>이중신경지배(정중+자신경)로 시험 단골</t>
        </is>
      </c>
      <c r="L4" s="25" t="n"/>
    </row>
    <row r="5" ht="27.75" customHeight="1">
      <c r="A5" s="22" t="inlineStr">
        <is>
          <t>☐</t>
        </is>
      </c>
      <c r="B5" s="23" t="inlineStr">
        <is>
          <t>엄지두덩근</t>
        </is>
      </c>
      <c r="C5" s="24" t="inlineStr">
        <is>
          <t>엄지맞섬근</t>
        </is>
      </c>
      <c r="D5" s="25" t="inlineStr">
        <is>
          <t>Opponens pollicis</t>
        </is>
      </c>
      <c r="E5" s="24" t="inlineStr">
        <is>
          <t>굽힘근지지띠, 큰마름뼈</t>
        </is>
      </c>
      <c r="F5" s="25" t="inlineStr">
        <is>
          <t>1번손허리뼈(노쪽면)</t>
        </is>
      </c>
      <c r="G5" s="24" t="inlineStr">
        <is>
          <t>엄지 맞섬운동(대립, 엄지-새끼 맞대기)</t>
        </is>
      </c>
      <c r="H5" s="24" t="inlineStr">
        <is>
          <t>정중신경(C8-T1)</t>
        </is>
      </c>
      <c r="I5" s="24" t="inlineStr">
        <is>
          <t>노동맥 손바닥쪽분지</t>
        </is>
      </c>
      <c r="J5" s="24" t="inlineStr">
        <is>
          <t>엄지두덩 깊은층(엄지 맞섬 시 융기 촉진)</t>
        </is>
      </c>
      <c r="K5" s="24" t="inlineStr">
        <is>
          <t>손의 정교한 잡기(pincer grip) 핵심근, 정중신경 손상 시 맞섬 불가</t>
        </is>
      </c>
      <c r="L5" s="25" t="n"/>
    </row>
    <row r="6" ht="27.75" customHeight="1">
      <c r="A6" s="22" t="inlineStr">
        <is>
          <t>☐</t>
        </is>
      </c>
      <c r="B6" s="23" t="inlineStr">
        <is>
          <t>엄지두덩근</t>
        </is>
      </c>
      <c r="C6" s="24" t="inlineStr">
        <is>
          <t>엄지모음근</t>
        </is>
      </c>
      <c r="D6" s="25" t="inlineStr">
        <is>
          <t>Adductor pollicis</t>
        </is>
      </c>
      <c r="E6" s="24" t="inlineStr">
        <is>
          <t>빗갈래-알머리뼈·2/3번손허리뼈 / 가로갈래-3번손허리뼈앞면</t>
        </is>
      </c>
      <c r="F6" s="24" t="inlineStr">
        <is>
          <t>엄지 첫마디뼈바닥(안쪽)</t>
        </is>
      </c>
      <c r="G6" s="24" t="inlineStr">
        <is>
          <t>엄지 모음</t>
        </is>
      </c>
      <c r="H6" s="24" t="inlineStr">
        <is>
          <t>자신경 깊은가지(C8-T1)</t>
        </is>
      </c>
      <c r="I6" s="24" t="inlineStr">
        <is>
          <t>깊은손바닥동맥활</t>
        </is>
      </c>
      <c r="J6" s="24" t="inlineStr">
        <is>
          <t>엄지-검지 사이 물갈퀴막(첫째 손등뼈사이공간)에서 촉진</t>
        </is>
      </c>
      <c r="K6" s="24" t="inlineStr">
        <is>
          <t>자신경마비 시 프로멘트징후(Froment sign) 양성의 원인근</t>
        </is>
      </c>
      <c r="L6" s="25" t="n"/>
    </row>
    <row r="7" ht="27.75" customHeight="1">
      <c r="A7" s="22" t="inlineStr">
        <is>
          <t>☐</t>
        </is>
      </c>
      <c r="B7" s="23" t="inlineStr">
        <is>
          <t>새끼두덩근</t>
        </is>
      </c>
      <c r="C7" s="24" t="inlineStr">
        <is>
          <t>짧은손바닥근</t>
        </is>
      </c>
      <c r="D7" s="25" t="inlineStr">
        <is>
          <t>Palmaris brevis</t>
        </is>
      </c>
      <c r="E7" s="24" t="inlineStr">
        <is>
          <t>손바닥널힘줄(자쪽)</t>
        </is>
      </c>
      <c r="F7" s="24" t="inlineStr">
        <is>
          <t>새끼두덩 피부</t>
        </is>
      </c>
      <c r="G7" s="24" t="inlineStr">
        <is>
          <t>손바닥 피부에 주름을 만들어 소구조 보호</t>
        </is>
      </c>
      <c r="H7" s="24" t="inlineStr">
        <is>
          <t>자신경 얕은가지</t>
        </is>
      </c>
      <c r="I7" s="24" t="inlineStr">
        <is>
          <t>자동맥</t>
        </is>
      </c>
      <c r="J7" s="24" t="inlineStr">
        <is>
          <t>새끼두덩 피부밑 얕은층에서 촉진</t>
        </is>
      </c>
      <c r="K7" s="24" t="inlineStr">
        <is>
          <t>손바닥 그립력 보조, 임상적 의의는 제한적</t>
        </is>
      </c>
      <c r="L7" s="25" t="n"/>
    </row>
    <row r="8" ht="27.75" customHeight="1">
      <c r="A8" s="22" t="inlineStr">
        <is>
          <t>☐</t>
        </is>
      </c>
      <c r="B8" s="23" t="inlineStr">
        <is>
          <t>새끼두덩근</t>
        </is>
      </c>
      <c r="C8" s="24" t="inlineStr">
        <is>
          <t>새끼벌림근</t>
        </is>
      </c>
      <c r="D8" s="25" t="inlineStr">
        <is>
          <t>Abductor digiti minimi</t>
        </is>
      </c>
      <c r="E8" s="24" t="inlineStr">
        <is>
          <t>콩알뼈</t>
        </is>
      </c>
      <c r="F8" s="24" t="inlineStr">
        <is>
          <t>새끼손가락 첫마디뼈바닥</t>
        </is>
      </c>
      <c r="G8" s="24" t="inlineStr">
        <is>
          <t>새끼손가락 벌림</t>
        </is>
      </c>
      <c r="H8" s="24" t="inlineStr">
        <is>
          <t>자신경 깊은가지(C8-T1)</t>
        </is>
      </c>
      <c r="I8" s="24" t="inlineStr">
        <is>
          <t>자동맥</t>
        </is>
      </c>
      <c r="J8" s="24" t="inlineStr">
        <is>
          <t>새끼두덩 가장 얕은 융기로 촉진</t>
        </is>
      </c>
      <c r="K8" s="24" t="inlineStr">
        <is>
          <t>기용관(Guyon관) 증후군에서 자신경 깊은가지 마비 시 위축</t>
        </is>
      </c>
      <c r="L8" s="25" t="n"/>
    </row>
    <row r="9" ht="27.75" customHeight="1">
      <c r="A9" s="22" t="inlineStr">
        <is>
          <t>☐</t>
        </is>
      </c>
      <c r="B9" s="23" t="inlineStr">
        <is>
          <t>새끼두덩근</t>
        </is>
      </c>
      <c r="C9" s="24" t="inlineStr">
        <is>
          <t>짧은새끼굽힘근</t>
        </is>
      </c>
      <c r="D9" s="25" t="inlineStr">
        <is>
          <t>Flexor digiti minimi brevis</t>
        </is>
      </c>
      <c r="E9" s="24" t="inlineStr">
        <is>
          <t>갈고리뼈갈고리, 굽힘근지지띠</t>
        </is>
      </c>
      <c r="F9" s="24" t="inlineStr">
        <is>
          <t>새끼 첫마디뼈바닥</t>
        </is>
      </c>
      <c r="G9" s="24" t="inlineStr">
        <is>
          <t>새끼손가락 MCP 굽힘</t>
        </is>
      </c>
      <c r="H9" s="24" t="inlineStr">
        <is>
          <t>자신경 깊은가지</t>
        </is>
      </c>
      <c r="I9" s="24" t="inlineStr">
        <is>
          <t>자동맥</t>
        </is>
      </c>
      <c r="J9" s="24" t="inlineStr">
        <is>
          <t>새끼벌림근 안쪽에서 촉진</t>
        </is>
      </c>
      <c r="K9" s="24" t="inlineStr">
        <is>
          <t>새끼벌림근과 나란히 위치, 기능 감별은 촉진만으로는 어려움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새끼두덩근</t>
        </is>
      </c>
      <c r="C10" s="24" t="inlineStr">
        <is>
          <t>새끼맞섬근</t>
        </is>
      </c>
      <c r="D10" s="25" t="inlineStr">
        <is>
          <t>Opponens digiti minimi</t>
        </is>
      </c>
      <c r="E10" s="24" t="inlineStr">
        <is>
          <t>갈고리뼈갈고리</t>
        </is>
      </c>
      <c r="F10" s="25" t="inlineStr">
        <is>
          <t>5번손허리뼈(자쪽모서리)</t>
        </is>
      </c>
      <c r="G10" s="24" t="inlineStr">
        <is>
          <t>새끼손가락 맞섬운동</t>
        </is>
      </c>
      <c r="H10" s="24" t="inlineStr">
        <is>
          <t>자신경 깊은가지</t>
        </is>
      </c>
      <c r="I10" s="24" t="inlineStr">
        <is>
          <t>자동맥</t>
        </is>
      </c>
      <c r="J10" s="24" t="inlineStr">
        <is>
          <t>새끼두덩 깊은층(체표 촉진 어려움)</t>
        </is>
      </c>
      <c r="K10" s="24" t="inlineStr">
        <is>
          <t>엄지맞섬근과 대칭적 기능(손바닥 오목 형성에 기여)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중간근(내재근)</t>
        </is>
      </c>
      <c r="C11" s="24" t="inlineStr">
        <is>
          <t>벌레근(4개)</t>
        </is>
      </c>
      <c r="D11" s="25" t="inlineStr">
        <is>
          <t>Lumbricals</t>
        </is>
      </c>
      <c r="E11" s="24" t="inlineStr">
        <is>
          <t>깊은손가락굽힘근힘줄(각 손가락별)</t>
        </is>
      </c>
      <c r="F11" s="24" t="inlineStr">
        <is>
          <t>폄근확장부(노쪽)</t>
        </is>
      </c>
      <c r="G11" s="25" t="inlineStr">
        <is>
          <t>MCP 굽힘 + PIP·DIP 폄(손가락을 곧게 펴며 굽히는 동작)</t>
        </is>
      </c>
      <c r="H11" s="25" t="inlineStr">
        <is>
          <t>1·2번(가쪽)-정중신경 / 3·4번(안쪽)-자신경</t>
        </is>
      </c>
      <c r="I11" s="24" t="inlineStr">
        <is>
          <t>얕은손바닥동맥활</t>
        </is>
      </c>
      <c r="J11" s="24" t="inlineStr">
        <is>
          <t>손허리뼈 사이 손바닥면에서 간접 촉진</t>
        </is>
      </c>
      <c r="K11" s="24" t="inlineStr">
        <is>
          <t>글자 쓰기 자세(MCP굽힘+IP폄)의 핵심근, '가재손(claw hand)' 변형과 관련</t>
        </is>
      </c>
      <c r="L11" s="25" t="n"/>
    </row>
    <row r="12" ht="27.75" customHeight="1">
      <c r="A12" s="22" t="inlineStr">
        <is>
          <t>☐</t>
        </is>
      </c>
      <c r="B12" s="23" t="inlineStr">
        <is>
          <t>중간근(내재근)</t>
        </is>
      </c>
      <c r="C12" s="24" t="inlineStr">
        <is>
          <t>바닥쪽뼈사이근(3개)</t>
        </is>
      </c>
      <c r="D12" s="25" t="inlineStr">
        <is>
          <t>Palmar interossei</t>
        </is>
      </c>
      <c r="E12" s="25" t="inlineStr">
        <is>
          <t>2·4·5번손허리뼈(축 방향 한쪽면)</t>
        </is>
      </c>
      <c r="F12" s="24" t="inlineStr">
        <is>
          <t>해당 손가락 폄근확장부(중심축 방향)</t>
        </is>
      </c>
      <c r="G12" s="24" t="inlineStr">
        <is>
          <t>손가락 모음(내전, 셋째손가락 축 기준 'PAD')</t>
        </is>
      </c>
      <c r="H12" s="24" t="inlineStr">
        <is>
          <t>자신경 깊은가지(C8-T1)</t>
        </is>
      </c>
      <c r="I12" s="24" t="inlineStr">
        <is>
          <t>깊은손바닥동맥활</t>
        </is>
      </c>
      <c r="J12" s="24" t="inlineStr">
        <is>
          <t>손허리뼈 사이 손등쪽에서 손가락 모음 시 간접 촉진</t>
        </is>
      </c>
      <c r="K12" s="24" t="inlineStr">
        <is>
          <t>암기법 'PAD-DAB'(바닥쪽=모음, 등쪽=벌림)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중간근(내재근)</t>
        </is>
      </c>
      <c r="C13" s="24" t="inlineStr">
        <is>
          <t>등쪽뼈사이근(4개)</t>
        </is>
      </c>
      <c r="D13" s="25" t="inlineStr">
        <is>
          <t>Dorsal interossei</t>
        </is>
      </c>
      <c r="E13" s="24" t="inlineStr">
        <is>
          <t>인접한 손허리뼈 양쪽면(두 갈래)</t>
        </is>
      </c>
      <c r="F13" s="25" t="inlineStr">
        <is>
          <t>2·3·4번손가락 폄근확장부(중심축 반대방향)</t>
        </is>
      </c>
      <c r="G13" s="24" t="inlineStr">
        <is>
          <t>손가락 벌림(외전, 'DAB')</t>
        </is>
      </c>
      <c r="H13" s="24" t="inlineStr">
        <is>
          <t>자신경 깊은가지(C8-T1)</t>
        </is>
      </c>
      <c r="I13" s="24" t="inlineStr">
        <is>
          <t>손등동맥활</t>
        </is>
      </c>
      <c r="J13" s="24" t="inlineStr">
        <is>
          <t>손등 손허리뼈 사이 골짜기에서 손가락 벌릴 때 촉진</t>
        </is>
      </c>
      <c r="K13" s="24" t="inlineStr">
        <is>
          <t>손가락 벌림·모음 검사로 자신경 기능(척골신경병증) 선별</t>
        </is>
      </c>
      <c r="L13" s="25" t="n"/>
    </row>
  </sheetData>
  <autoFilter ref="A2:L13"/>
  <mergeCells count="1">
    <mergeCell ref="A1:L1"/>
  </mergeCells>
  <dataValidations count="1">
    <dataValidation sqref="A3:A13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6FA88A"/>
    <outlinePr summaryBelow="1" summaryRight="1"/>
    <pageSetUpPr/>
  </sheetPr>
  <dimension ref="A1:L1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3" t="inlineStr">
        <is>
          <t>골반·볼기 (Pelvis &amp; Gluteal)  —  근육 학습 체크리스트  (총 13개)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볼기근</t>
        </is>
      </c>
      <c r="C3" s="24" t="inlineStr">
        <is>
          <t>큰볼기근</t>
        </is>
      </c>
      <c r="D3" s="25" t="inlineStr">
        <is>
          <t>Gluteus maximus</t>
        </is>
      </c>
      <c r="E3" s="24" t="inlineStr">
        <is>
          <t>엉덩뼈 뒷면, 엉치뼈·꼬리뼈, 엉치결절인대</t>
        </is>
      </c>
      <c r="F3" s="24" t="inlineStr">
        <is>
          <t>볼기근거친면(위팔부), 엉덩정강근막띠</t>
        </is>
      </c>
      <c r="G3" s="24" t="inlineStr">
        <is>
          <t>엉덩관절 폄(특히 굽힌자세에서 강력), 가쪽돌림</t>
        </is>
      </c>
      <c r="H3" s="24" t="inlineStr">
        <is>
          <t>아래볼기신경(하둔신경, L5-S2)</t>
        </is>
      </c>
      <c r="I3" s="24" t="inlineStr">
        <is>
          <t>위·아래볼기동맥</t>
        </is>
      </c>
      <c r="J3" s="24" t="inlineStr">
        <is>
          <t>엉덩이 전체 두툼한 근육으로 쉽게 촉진(근육주사 부위)</t>
        </is>
      </c>
      <c r="K3" s="24" t="inlineStr">
        <is>
          <t>계단오르기·일어서기의 주동근, 근육주사 시 궁둥신경 손상 방지 위해 가쪽위 1/4 부위 사용</t>
        </is>
      </c>
      <c r="L3" s="25" t="n"/>
    </row>
    <row r="4" ht="27.75" customHeight="1">
      <c r="A4" s="22" t="inlineStr">
        <is>
          <t>☐</t>
        </is>
      </c>
      <c r="B4" s="23" t="inlineStr">
        <is>
          <t>볼기근</t>
        </is>
      </c>
      <c r="C4" s="24" t="inlineStr">
        <is>
          <t>중간볼기근</t>
        </is>
      </c>
      <c r="D4" s="25" t="inlineStr">
        <is>
          <t>Gluteus medius</t>
        </is>
      </c>
      <c r="E4" s="24" t="inlineStr">
        <is>
          <t>엉덩뼈 바깥면(앞·뒤볼기근선 사이)</t>
        </is>
      </c>
      <c r="F4" s="24" t="inlineStr">
        <is>
          <t>큰돌기(가쪽면)</t>
        </is>
      </c>
      <c r="G4" s="24" t="inlineStr">
        <is>
          <t>엉덩관절 벌림, 한다리서기 시 골반 수평 유지(안정화)</t>
        </is>
      </c>
      <c r="H4" s="24" t="inlineStr">
        <is>
          <t>위볼기신경(상둔신경, L4-S1)</t>
        </is>
      </c>
      <c r="I4" s="24" t="inlineStr">
        <is>
          <t>위볼기동맥</t>
        </is>
      </c>
      <c r="J4" s="24" t="inlineStr">
        <is>
          <t>큰볼기근 위쪽, 엉덩뼈능선 아래에서 촉진</t>
        </is>
      </c>
      <c r="K4" s="24" t="inlineStr">
        <is>
          <t>약화 시 트렌델렌부르크 보행(반대쪽 골반 처짐), 인공고관절치환술 접근 시 중요</t>
        </is>
      </c>
      <c r="L4" s="25" t="n"/>
    </row>
    <row r="5" ht="27.75" customHeight="1">
      <c r="A5" s="22" t="inlineStr">
        <is>
          <t>☐</t>
        </is>
      </c>
      <c r="B5" s="23" t="inlineStr">
        <is>
          <t>볼기근</t>
        </is>
      </c>
      <c r="C5" s="24" t="inlineStr">
        <is>
          <t>작은볼기근</t>
        </is>
      </c>
      <c r="D5" s="25" t="inlineStr">
        <is>
          <t>Gluteus minimus</t>
        </is>
      </c>
      <c r="E5" s="24" t="inlineStr">
        <is>
          <t>엉덩뼈 바깥면(앞·아래볼기근선 사이)</t>
        </is>
      </c>
      <c r="F5" s="24" t="inlineStr">
        <is>
          <t>큰돌기(앞면)</t>
        </is>
      </c>
      <c r="G5" s="24" t="inlineStr">
        <is>
          <t>엉덩관절 벌림, 안쪽돌림 보조</t>
        </is>
      </c>
      <c r="H5" s="24" t="inlineStr">
        <is>
          <t>위볼기신경(L4-S1)</t>
        </is>
      </c>
      <c r="I5" s="24" t="inlineStr">
        <is>
          <t>위볼기동맥</t>
        </is>
      </c>
      <c r="J5" s="24" t="inlineStr">
        <is>
          <t>중간볼기근 심층(직접 촉진 어려움)</t>
        </is>
      </c>
      <c r="K5" s="24" t="inlineStr">
        <is>
          <t>중간볼기근과 협동, 인공고관절 수술 시 함께 다뤄짐</t>
        </is>
      </c>
      <c r="L5" s="25" t="n"/>
    </row>
    <row r="6" ht="27.75" customHeight="1">
      <c r="A6" s="22" t="inlineStr">
        <is>
          <t>☐</t>
        </is>
      </c>
      <c r="B6" s="23" t="inlineStr">
        <is>
          <t>볼기근</t>
        </is>
      </c>
      <c r="C6" s="24" t="inlineStr">
        <is>
          <t>넙다리근막긴장근</t>
        </is>
      </c>
      <c r="D6" s="25" t="inlineStr">
        <is>
          <t>Tensor fasciae latae</t>
        </is>
      </c>
      <c r="E6" s="24" t="inlineStr">
        <is>
          <t>엉덩뼈능선 앞부분·위앞엉덩뼈가시(ASIS)</t>
        </is>
      </c>
      <c r="F6" s="24" t="inlineStr">
        <is>
          <t>엉덩정강근막띠(장경인대)를 거쳐 정강뼈 거디결절(Gerdy결절)</t>
        </is>
      </c>
      <c r="G6" s="24" t="inlineStr">
        <is>
          <t>엉덩관절 굽힘·벌림·안쪽돌림, 무릎 가쪽 안정화</t>
        </is>
      </c>
      <c r="H6" s="24" t="inlineStr">
        <is>
          <t>위볼기신경(L4-S1)</t>
        </is>
      </c>
      <c r="I6" s="24" t="inlineStr">
        <is>
          <t>가쪽넙다리휘돌이동맥 오름가지</t>
        </is>
      </c>
      <c r="J6" s="24" t="inlineStr">
        <is>
          <t>ASIS 바로 아래가쪽에서 엉덩관절 굽힘+안쪽돌림 시 촉진</t>
        </is>
      </c>
      <c r="K6" s="24" t="inlineStr">
        <is>
          <t>엉덩정강근막띠증후군(달리기 무릎통증)의 근위 원인근 — 중간볼기근과 함께 위볼기신경 지배</t>
        </is>
      </c>
      <c r="L6" s="25" t="n"/>
    </row>
    <row r="7" ht="27.75" customHeight="1">
      <c r="A7" s="22" t="inlineStr">
        <is>
          <t>☐</t>
        </is>
      </c>
      <c r="B7" s="23" t="inlineStr">
        <is>
          <t>깊은가쪽돌림근</t>
        </is>
      </c>
      <c r="C7" s="24" t="inlineStr">
        <is>
          <t>궁둥구멍근</t>
        </is>
      </c>
      <c r="D7" s="25" t="inlineStr">
        <is>
          <t>Piriformis</t>
        </is>
      </c>
      <c r="E7" s="24" t="inlineStr">
        <is>
          <t>엉치뼈 앞면</t>
        </is>
      </c>
      <c r="F7" s="24" t="inlineStr">
        <is>
          <t>큰돌기 위쪽</t>
        </is>
      </c>
      <c r="G7" s="24" t="inlineStr">
        <is>
          <t>엉덩관절 가쪽돌림(폄 상태), 벌림(90도 굽힘 상태)</t>
        </is>
      </c>
      <c r="H7" s="24" t="inlineStr">
        <is>
          <t>궁둥구멍근신경(S1-S2)</t>
        </is>
      </c>
      <c r="I7" s="24" t="inlineStr">
        <is>
          <t>아래볼기동맥</t>
        </is>
      </c>
      <c r="J7" s="24" t="inlineStr">
        <is>
          <t>큰볼기근 심층, 엉치뼈~큰돌기 사선으로 간접 촉진</t>
        </is>
      </c>
      <c r="K7" s="24" t="inlineStr">
        <is>
          <t>궁둥신경과의 주행 관계 변이(Type Ⅰ~Ⅲ)가 궁둥구멍근증후군의 핵심 원인</t>
        </is>
      </c>
      <c r="L7" s="25" t="n"/>
    </row>
    <row r="8" ht="27.75" customHeight="1">
      <c r="A8" s="22" t="inlineStr">
        <is>
          <t>☐</t>
        </is>
      </c>
      <c r="B8" s="23" t="inlineStr">
        <is>
          <t>깊은가쪽돌림근</t>
        </is>
      </c>
      <c r="C8" s="24" t="inlineStr">
        <is>
          <t>위쌍둥이근</t>
        </is>
      </c>
      <c r="D8" s="25" t="inlineStr">
        <is>
          <t>Gemellus superior</t>
        </is>
      </c>
      <c r="E8" s="24" t="inlineStr">
        <is>
          <t>궁둥뼈가시</t>
        </is>
      </c>
      <c r="F8" s="24" t="inlineStr">
        <is>
          <t>속폐쇄근힘줄과 합류(큰돌기 안쪽면)</t>
        </is>
      </c>
      <c r="G8" s="24" t="inlineStr">
        <is>
          <t>가쪽돌림</t>
        </is>
      </c>
      <c r="H8" s="24" t="inlineStr">
        <is>
          <t>속폐쇄근신경(L5-S2)</t>
        </is>
      </c>
      <c r="I8" s="24" t="inlineStr">
        <is>
          <t>아래볼기동맥</t>
        </is>
      </c>
      <c r="J8" s="24" t="inlineStr">
        <is>
          <t>궁둥구멍근 아래 깊은층(직접 촉진 어려움)</t>
        </is>
      </c>
      <c r="K8" s="24" t="inlineStr">
        <is>
          <t>속폐쇄근힘줄의 '보조 활차' 역할</t>
        </is>
      </c>
      <c r="L8" s="25" t="n"/>
    </row>
    <row r="9" ht="27.75" customHeight="1">
      <c r="A9" s="22" t="inlineStr">
        <is>
          <t>☐</t>
        </is>
      </c>
      <c r="B9" s="23" t="inlineStr">
        <is>
          <t>깊은가쪽돌림근</t>
        </is>
      </c>
      <c r="C9" s="24" t="inlineStr">
        <is>
          <t>아래쌍둥이근</t>
        </is>
      </c>
      <c r="D9" s="25" t="inlineStr">
        <is>
          <t>Gemellus inferior</t>
        </is>
      </c>
      <c r="E9" s="24" t="inlineStr">
        <is>
          <t>궁둥뼈결절</t>
        </is>
      </c>
      <c r="F9" s="24" t="inlineStr">
        <is>
          <t>속폐쇄근힘줄과 합류</t>
        </is>
      </c>
      <c r="G9" s="24" t="inlineStr">
        <is>
          <t>가쪽돌림</t>
        </is>
      </c>
      <c r="H9" s="24" t="inlineStr">
        <is>
          <t>넙다리네모근신경(L4-S1)</t>
        </is>
      </c>
      <c r="I9" s="24" t="inlineStr">
        <is>
          <t>아래볼기동맥</t>
        </is>
      </c>
      <c r="J9" s="24" t="inlineStr">
        <is>
          <t>위쌍둥이근보다 아래쪽 깊은층</t>
        </is>
      </c>
      <c r="K9" s="24" t="inlineStr">
        <is>
          <t>위쌍둥이근·속폐쇄근·아래쌍둥이근이 함께 '삼중근' 형태로 작용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깊은가쪽돌림근</t>
        </is>
      </c>
      <c r="C10" s="24" t="inlineStr">
        <is>
          <t>속폐쇄근</t>
        </is>
      </c>
      <c r="D10" s="25" t="inlineStr">
        <is>
          <t>Obturator internus</t>
        </is>
      </c>
      <c r="E10" s="24" t="inlineStr">
        <is>
          <t>폐쇄막 안쪽면</t>
        </is>
      </c>
      <c r="F10" s="24" t="inlineStr">
        <is>
          <t>큰돌기 안쪽면(쌍둥이근 사이)</t>
        </is>
      </c>
      <c r="G10" s="24" t="inlineStr">
        <is>
          <t>가쪽돌림</t>
        </is>
      </c>
      <c r="H10" s="24" t="inlineStr">
        <is>
          <t>속폐쇄근신경(L5-S2)</t>
        </is>
      </c>
      <c r="I10" s="24" t="inlineStr">
        <is>
          <t>속음부동맥</t>
        </is>
      </c>
      <c r="J10" s="24" t="inlineStr">
        <is>
          <t>궁둥구멍근 아래, 직접 촉진 어려움</t>
        </is>
      </c>
      <c r="K10" s="24" t="inlineStr">
        <is>
          <t>골반출구를 나갈 때 방향이 직각으로 꺾이는 유일한 근육(작은궁둥패임이 도르래 역할)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깊은가쪽돌림근</t>
        </is>
      </c>
      <c r="C11" s="24" t="inlineStr">
        <is>
          <t>바깥폐쇄근</t>
        </is>
      </c>
      <c r="D11" s="25" t="inlineStr">
        <is>
          <t>Obturator externus</t>
        </is>
      </c>
      <c r="E11" s="24" t="inlineStr">
        <is>
          <t>폐쇄막 바깥면</t>
        </is>
      </c>
      <c r="F11" s="24" t="inlineStr">
        <is>
          <t>돌기오목(넙다리뼈)</t>
        </is>
      </c>
      <c r="G11" s="24" t="inlineStr">
        <is>
          <t>가쪽돌림</t>
        </is>
      </c>
      <c r="H11" s="24" t="inlineStr">
        <is>
          <t>폐쇄신경(L3-L4)</t>
        </is>
      </c>
      <c r="I11" s="24" t="inlineStr">
        <is>
          <t>폐쇄동맥</t>
        </is>
      </c>
      <c r="J11" s="24" t="inlineStr">
        <is>
          <t>넙다리 안쪽 깊은곳(체표 촉진 불가)</t>
        </is>
      </c>
      <c r="K11" s="24" t="inlineStr">
        <is>
          <t>깊은가쪽돌림근군 중 유일하게 폐쇄신경 지배(나머지는 엉치신경얼기)</t>
        </is>
      </c>
      <c r="L11" s="25" t="n"/>
    </row>
    <row r="12" ht="37.5" customHeight="1">
      <c r="A12" s="22" t="inlineStr">
        <is>
          <t>☐</t>
        </is>
      </c>
      <c r="B12" s="23" t="inlineStr">
        <is>
          <t>깊은가쪽돌림근</t>
        </is>
      </c>
      <c r="C12" s="24" t="inlineStr">
        <is>
          <t>넙다리네모근</t>
        </is>
      </c>
      <c r="D12" s="25" t="inlineStr">
        <is>
          <t>Quadratus femoris</t>
        </is>
      </c>
      <c r="E12" s="24" t="inlineStr">
        <is>
          <t>궁둥뼈결절</t>
        </is>
      </c>
      <c r="F12" s="24" t="inlineStr">
        <is>
          <t>돌기사이능선</t>
        </is>
      </c>
      <c r="G12" s="24" t="inlineStr">
        <is>
          <t>가쪽돌림</t>
        </is>
      </c>
      <c r="H12" s="24" t="inlineStr">
        <is>
          <t>넙다리네모근신경(L4-S1)</t>
        </is>
      </c>
      <c r="I12" s="24" t="inlineStr">
        <is>
          <t>안쪽넙다리휘돌이동맥</t>
        </is>
      </c>
      <c r="J12" s="24" t="inlineStr">
        <is>
          <t>궁둥뼈결절과 큰돌기 사이에서 간접 촉진</t>
        </is>
      </c>
      <c r="K12" s="24" t="inlineStr">
        <is>
          <t>인공고관절 후방접근술 시 절개·봉합 기준근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엉덩허리근</t>
        </is>
      </c>
      <c r="C13" s="24" t="inlineStr">
        <is>
          <t>엉덩허리근(큰허리근+엉덩근)</t>
        </is>
      </c>
      <c r="D13" s="25" t="inlineStr">
        <is>
          <t>Iliopsoas (Psoas major + Iliacus)</t>
        </is>
      </c>
      <c r="E13" s="24" t="inlineStr">
        <is>
          <t>큰허리근-T12~L5 척추체·가로돌기 / 엉덩근-엉덩오목</t>
        </is>
      </c>
      <c r="F13" s="24" t="inlineStr">
        <is>
          <t>넙다리뼈 작은돌기</t>
        </is>
      </c>
      <c r="G13" s="24" t="inlineStr">
        <is>
          <t>엉덩관절 굽힘(가장 강력한 굽힘근)</t>
        </is>
      </c>
      <c r="H13" s="24" t="inlineStr">
        <is>
          <t>큰허리근-허리신경얼기(L1-L3) / 엉덩근-넙다리신경(L2-L4)</t>
        </is>
      </c>
      <c r="I13" s="24" t="inlineStr">
        <is>
          <t>허리동맥·엉덩허리동맥</t>
        </is>
      </c>
      <c r="J13" s="24" t="inlineStr">
        <is>
          <t>배꼽 가쪽 깊은곳(복부) 또는 샅고랑 부위에서 간접 촉진</t>
        </is>
      </c>
      <c r="K13" s="24" t="inlineStr">
        <is>
          <t>샅고랑인대 아래로 지나가며 넙다리신경과 함께 주행, 요근농양(psoas abscess)의 해부학적 경로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골반바닥근</t>
        </is>
      </c>
      <c r="C14" s="24" t="inlineStr">
        <is>
          <t>항문올림근(3부: 두덩곧창자근·두덩꼬리근·엉덩꼬리근)</t>
        </is>
      </c>
      <c r="D14" s="25" t="inlineStr">
        <is>
          <t>Levator ani</t>
        </is>
      </c>
      <c r="E14" s="24" t="inlineStr">
        <is>
          <t>두덩뼈 뒤면, 힘줄활(항문올림근널힘줄활), 궁둥뼈가시</t>
        </is>
      </c>
      <c r="F14" s="24" t="inlineStr">
        <is>
          <t>꼬리뼈, 항문꼬리인대, 곧창자 주위(두덩곧창자근은 고리를 이룸)</t>
        </is>
      </c>
      <c r="G14" s="24" t="inlineStr">
        <is>
          <t>골반장기 지지, 배변·배뇨 조절(두덩곧창자근이 항문직장각 유지)</t>
        </is>
      </c>
      <c r="H14" s="24" t="inlineStr">
        <is>
          <t>음부신경(S2-S4)+S3-S4 직접가지</t>
        </is>
      </c>
      <c r="I14" s="24" t="inlineStr">
        <is>
          <t>속음부동맥·아래볼기동맥</t>
        </is>
      </c>
      <c r="J14" s="24" t="inlineStr">
        <is>
          <t>질·직장 수지검사로 내부 촉진(체표 촉진 불가)</t>
        </is>
      </c>
      <c r="K14" s="24" t="inlineStr">
        <is>
          <t>분만손상·만성 기침·비만 시 약화 → 골반장기탈출증·요실금, 케겔운동의 표적근</t>
        </is>
      </c>
      <c r="L14" s="25" t="n"/>
    </row>
    <row r="15" ht="27.75" customHeight="1">
      <c r="A15" s="22" t="inlineStr">
        <is>
          <t>☐</t>
        </is>
      </c>
      <c r="B15" s="23" t="inlineStr">
        <is>
          <t>골반바닥근</t>
        </is>
      </c>
      <c r="C15" s="24" t="inlineStr">
        <is>
          <t>꼬리근(꼬리뼈근)</t>
        </is>
      </c>
      <c r="D15" s="25" t="inlineStr">
        <is>
          <t>Coccygeus (Ischiococcygeus)</t>
        </is>
      </c>
      <c r="E15" s="24" t="inlineStr">
        <is>
          <t>궁둥뼈가시</t>
        </is>
      </c>
      <c r="F15" s="24" t="inlineStr">
        <is>
          <t>꼬리뼈·엉치뼈 아래부분</t>
        </is>
      </c>
      <c r="G15" s="24" t="inlineStr">
        <is>
          <t>골반바닥 뒤부분 지지, 꼬리뼈를 앞으로 당김</t>
        </is>
      </c>
      <c r="H15" s="24" t="inlineStr">
        <is>
          <t>S4-S5 앞가지</t>
        </is>
      </c>
      <c r="I15" s="24" t="inlineStr">
        <is>
          <t>아래볼기동맥·가쪽엉치동맥</t>
        </is>
      </c>
      <c r="J15" s="24" t="inlineStr">
        <is>
          <t>직장 수지검사로 간접 확인</t>
        </is>
      </c>
      <c r="K15" s="24" t="inlineStr">
        <is>
          <t>엉치가시인대와 같은 면에 위치(인대의 근육성 대응구조) — 항문올림근과 함께 골반가로막 형성</t>
        </is>
      </c>
      <c r="L15" s="25" t="n"/>
    </row>
  </sheetData>
  <autoFilter ref="A2:L12"/>
  <mergeCells count="1">
    <mergeCell ref="A1:L1"/>
  </mergeCells>
  <dataValidations count="1">
    <dataValidation sqref="A3:A15" showDropDown="0" showInputMessage="0" showErrorMessage="0" allowBlank="1" type="list">
      <formula1>"☐,☑"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7FBF7F"/>
    <outlinePr summaryBelow="1" summaryRight="1"/>
    <pageSetUpPr/>
  </sheetPr>
  <dimension ref="A1:L1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2" t="inlineStr">
        <is>
          <t>넙다리 (Thigh)  —  근육 학습 체크리스트  (총 13개)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앞칸</t>
        </is>
      </c>
      <c r="C3" s="24" t="inlineStr">
        <is>
          <t>넙다리빗근</t>
        </is>
      </c>
      <c r="D3" s="25" t="inlineStr">
        <is>
          <t>Sartorius</t>
        </is>
      </c>
      <c r="E3" s="24" t="inlineStr">
        <is>
          <t>위앞엉덩뼈가시(ASIS)</t>
        </is>
      </c>
      <c r="F3" s="24" t="inlineStr">
        <is>
          <t>정강뼈위안쪽면(거위발, pes anserinus)</t>
        </is>
      </c>
      <c r="G3" s="24" t="inlineStr">
        <is>
          <t>엉덩관절 굽힘·벌림·가쪽돌림 + 무릎 굽힘(다리꼬는 자세)</t>
        </is>
      </c>
      <c r="H3" s="24" t="inlineStr">
        <is>
          <t>넙다리신경(L2-L3)</t>
        </is>
      </c>
      <c r="I3" s="24" t="inlineStr">
        <is>
          <t>넙다리동맥 분지</t>
        </is>
      </c>
      <c r="J3" s="24" t="inlineStr">
        <is>
          <t>골반 앞에서 무릎 안쪽까지 사선으로 뚜렷이 촉진(인체에서 가장 긴 근육)</t>
        </is>
      </c>
      <c r="K3" s="25" t="inlineStr">
        <is>
          <t>'재봉사근'이라는 별명(책상다리 자세 유래), 거위발건염의 구성 힘줄 중 하나</t>
        </is>
      </c>
      <c r="L3" s="25" t="n"/>
    </row>
    <row r="4" ht="27.75" customHeight="1">
      <c r="A4" s="22" t="inlineStr">
        <is>
          <t>☐</t>
        </is>
      </c>
      <c r="B4" s="23" t="inlineStr">
        <is>
          <t>앞칸</t>
        </is>
      </c>
      <c r="C4" s="24" t="inlineStr">
        <is>
          <t>넙다리곧은근</t>
        </is>
      </c>
      <c r="D4" s="25" t="inlineStr">
        <is>
          <t>Rectus femoris</t>
        </is>
      </c>
      <c r="E4" s="24" t="inlineStr">
        <is>
          <t>아래앞엉덩뼈가시(AIIS)</t>
        </is>
      </c>
      <c r="F4" s="24" t="inlineStr">
        <is>
          <t>무릎뼈(넙다리네갈래근힘줄 → 무릎인대 → 정강뼈거친면)</t>
        </is>
      </c>
      <c r="G4" s="24" t="inlineStr">
        <is>
          <t>무릎 폄 + 엉덩관절 굽힘(이관절근, 두 관절 동시작용)</t>
        </is>
      </c>
      <c r="H4" s="24" t="inlineStr">
        <is>
          <t>넙다리신경(L2-L4)</t>
        </is>
      </c>
      <c r="I4" s="24" t="inlineStr">
        <is>
          <t>가쪽넙다리휘돌이동맥</t>
        </is>
      </c>
      <c r="J4" s="24" t="inlineStr">
        <is>
          <t>넙다리 앞면 중앙, 무릎을 펼 때 세로 융기로 촉진</t>
        </is>
      </c>
      <c r="K4" s="24" t="inlineStr">
        <is>
          <t>네갈래근 중 유일하게 엉덩관절도 지나는 이관절근 → 축구선수 파열 호발</t>
        </is>
      </c>
      <c r="L4" s="25" t="n"/>
    </row>
    <row r="5" ht="27.75" customHeight="1">
      <c r="A5" s="22" t="inlineStr">
        <is>
          <t>☐</t>
        </is>
      </c>
      <c r="B5" s="23" t="inlineStr">
        <is>
          <t>앞칸</t>
        </is>
      </c>
      <c r="C5" s="24" t="inlineStr">
        <is>
          <t>안쪽넓은근</t>
        </is>
      </c>
      <c r="D5" s="25" t="inlineStr">
        <is>
          <t>Vastus medialis</t>
        </is>
      </c>
      <c r="E5" s="24" t="inlineStr">
        <is>
          <t>넙다리뼈거친선(안쪽순)</t>
        </is>
      </c>
      <c r="F5" s="24" t="inlineStr">
        <is>
          <t>무릎뼈(안쪽)</t>
        </is>
      </c>
      <c r="G5" s="24" t="inlineStr">
        <is>
          <t>무릎 폄, 무릎뼈 안정화(가쪽탈구 방지)</t>
        </is>
      </c>
      <c r="H5" s="24" t="inlineStr">
        <is>
          <t>넙다리신경(L2-L4)</t>
        </is>
      </c>
      <c r="I5" s="24" t="inlineStr">
        <is>
          <t>넙다리동맥</t>
        </is>
      </c>
      <c r="J5" s="24" t="inlineStr">
        <is>
          <t>무릎 안쪽위 '눈물방울' 모양 융기로 촉진</t>
        </is>
      </c>
      <c r="K5" s="24" t="inlineStr">
        <is>
          <t>무릎뼈넙다리통증증후군 재활의 핵심 강화근(VMO 강화운동)</t>
        </is>
      </c>
      <c r="L5" s="25" t="n"/>
    </row>
    <row r="6" ht="27.75" customHeight="1">
      <c r="A6" s="22" t="inlineStr">
        <is>
          <t>☐</t>
        </is>
      </c>
      <c r="B6" s="23" t="inlineStr">
        <is>
          <t>앞칸</t>
        </is>
      </c>
      <c r="C6" s="24" t="inlineStr">
        <is>
          <t>가쪽넓은근</t>
        </is>
      </c>
      <c r="D6" s="25" t="inlineStr">
        <is>
          <t>Vastus lateralis</t>
        </is>
      </c>
      <c r="E6" s="24" t="inlineStr">
        <is>
          <t>넙다리뼈거친선(가쪽순)·큰돌기</t>
        </is>
      </c>
      <c r="F6" s="24" t="inlineStr">
        <is>
          <t>무릎뼈(가쪽)</t>
        </is>
      </c>
      <c r="G6" s="24" t="inlineStr">
        <is>
          <t>무릎 폄</t>
        </is>
      </c>
      <c r="H6" s="24" t="inlineStr">
        <is>
          <t>넙다리신경(L2-L4)</t>
        </is>
      </c>
      <c r="I6" s="24" t="inlineStr">
        <is>
          <t>가쪽넙다리휘돌이동맥</t>
        </is>
      </c>
      <c r="J6" s="24" t="inlineStr">
        <is>
          <t>넙다리 가쪽에서 가장 큰 근육으로 촉진</t>
        </is>
      </c>
      <c r="K6" s="24" t="inlineStr">
        <is>
          <t>네갈래근 중 부피가 가장 커 근육주사(대퇴 가쪽) 부위로도 사용</t>
        </is>
      </c>
      <c r="L6" s="25" t="n"/>
    </row>
    <row r="7" ht="27.75" customHeight="1">
      <c r="A7" s="22" t="inlineStr">
        <is>
          <t>☐</t>
        </is>
      </c>
      <c r="B7" s="23" t="inlineStr">
        <is>
          <t>앞칸</t>
        </is>
      </c>
      <c r="C7" s="24" t="inlineStr">
        <is>
          <t>중간넓은근</t>
        </is>
      </c>
      <c r="D7" s="25" t="inlineStr">
        <is>
          <t>Vastus intermedius</t>
        </is>
      </c>
      <c r="E7" s="24" t="inlineStr">
        <is>
          <t>넙다리뼈 앞·가쪽면</t>
        </is>
      </c>
      <c r="F7" s="24" t="inlineStr">
        <is>
          <t>무릎뼈</t>
        </is>
      </c>
      <c r="G7" s="24" t="inlineStr">
        <is>
          <t>무릎 폄</t>
        </is>
      </c>
      <c r="H7" s="24" t="inlineStr">
        <is>
          <t>넙다리신경(L2-L4)</t>
        </is>
      </c>
      <c r="I7" s="24" t="inlineStr">
        <is>
          <t>넙다리동맥</t>
        </is>
      </c>
      <c r="J7" s="24" t="inlineStr">
        <is>
          <t>넙다리곧은근 심층(직접 촉진 어려움)</t>
        </is>
      </c>
      <c r="K7" s="24" t="inlineStr">
        <is>
          <t>네갈래근 중 유일하게 표면에서 보이지 않는 심층근</t>
        </is>
      </c>
      <c r="L7" s="25" t="n"/>
    </row>
    <row r="8" ht="27.75" customHeight="1">
      <c r="A8" s="22" t="inlineStr">
        <is>
          <t>☐</t>
        </is>
      </c>
      <c r="B8" s="23" t="inlineStr">
        <is>
          <t>안쪽칸(모음근군)</t>
        </is>
      </c>
      <c r="C8" s="24" t="inlineStr">
        <is>
          <t>두덩정강근</t>
        </is>
      </c>
      <c r="D8" s="25" t="inlineStr">
        <is>
          <t>Gracilis</t>
        </is>
      </c>
      <c r="E8" s="24" t="inlineStr">
        <is>
          <t>두덩뼈 아래가지</t>
        </is>
      </c>
      <c r="F8" s="24" t="inlineStr">
        <is>
          <t>정강뼈위안쪽면(거위발)</t>
        </is>
      </c>
      <c r="G8" s="24" t="inlineStr">
        <is>
          <t>엉덩관절 모음 + 무릎 굽힘(이관절근)</t>
        </is>
      </c>
      <c r="H8" s="24" t="inlineStr">
        <is>
          <t>폐쇄신경(L2-L3)</t>
        </is>
      </c>
      <c r="I8" s="24" t="inlineStr">
        <is>
          <t>폐쇄동맥</t>
        </is>
      </c>
      <c r="J8" s="24" t="inlineStr">
        <is>
          <t>넙다리 안쪽 가장 얕은 세로 근육으로 촉진</t>
        </is>
      </c>
      <c r="K8" s="24" t="inlineStr">
        <is>
          <t>모음근군 중 유일하게 무릎 아래까지 내려감, 이식건(전방십자인대 재건)으로 흔히 사용</t>
        </is>
      </c>
      <c r="L8" s="25" t="n"/>
    </row>
    <row r="9" ht="27.75" customHeight="1">
      <c r="A9" s="22" t="inlineStr">
        <is>
          <t>☐</t>
        </is>
      </c>
      <c r="B9" s="23" t="inlineStr">
        <is>
          <t>안쪽칸(모음근군)</t>
        </is>
      </c>
      <c r="C9" s="24" t="inlineStr">
        <is>
          <t>두덩근</t>
        </is>
      </c>
      <c r="D9" s="25" t="inlineStr">
        <is>
          <t>Pectineus</t>
        </is>
      </c>
      <c r="E9" s="24" t="inlineStr">
        <is>
          <t>두덩뼈빗</t>
        </is>
      </c>
      <c r="F9" s="24" t="inlineStr">
        <is>
          <t>넙다리뼈두덩근선(작은돌기 아래)</t>
        </is>
      </c>
      <c r="G9" s="24" t="inlineStr">
        <is>
          <t>엉덩관절 모음 + 굽힘</t>
        </is>
      </c>
      <c r="H9" s="24" t="inlineStr">
        <is>
          <t>넙다리신경(±폐쇄신경, L2-L3)</t>
        </is>
      </c>
      <c r="I9" s="24" t="inlineStr">
        <is>
          <t>폐쇄동맥·안쪽넙다리휘돌이동맥</t>
        </is>
      </c>
      <c r="J9" s="24" t="inlineStr">
        <is>
          <t>샅고랑 삼각(femoral triangle) 안쪽 경계에서 촉진</t>
        </is>
      </c>
      <c r="K9" s="24" t="inlineStr">
        <is>
          <t>넙다리삼각의 바닥을 이루는 근육 중 하나, 이중신경지배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안쪽칸(모음근군)</t>
        </is>
      </c>
      <c r="C10" s="24" t="inlineStr">
        <is>
          <t>긴모음근</t>
        </is>
      </c>
      <c r="D10" s="25" t="inlineStr">
        <is>
          <t>Adductor longus</t>
        </is>
      </c>
      <c r="E10" s="24" t="inlineStr">
        <is>
          <t>두덩뼈몸통 앞면</t>
        </is>
      </c>
      <c r="F10" s="24" t="inlineStr">
        <is>
          <t>넙다리뼈거친선(중간1/3)</t>
        </is>
      </c>
      <c r="G10" s="24" t="inlineStr">
        <is>
          <t>엉덩관절 모음</t>
        </is>
      </c>
      <c r="H10" s="24" t="inlineStr">
        <is>
          <t>폐쇄신경 앞가지(L2-L4)</t>
        </is>
      </c>
      <c r="I10" s="24" t="inlineStr">
        <is>
          <t>안쪽넙다리휘돌이동맥·모음근동맥</t>
        </is>
      </c>
      <c r="J10" s="24" t="inlineStr">
        <is>
          <t>샅고랑 아래 넙다리 안쪽에서 가장 뚜렷한 힘줄로 촉진(넙다리삼각의 안쪽경계)</t>
        </is>
      </c>
      <c r="K10" s="24" t="inlineStr">
        <is>
          <t>축구선수 사타구니 부상(그로인 통증)의 최호발근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안쪽칸(모음근군)</t>
        </is>
      </c>
      <c r="C11" s="24" t="inlineStr">
        <is>
          <t>짧은모음근</t>
        </is>
      </c>
      <c r="D11" s="25" t="inlineStr">
        <is>
          <t>Adductor brevis</t>
        </is>
      </c>
      <c r="E11" s="24" t="inlineStr">
        <is>
          <t>두덩뼈 아래가지</t>
        </is>
      </c>
      <c r="F11" s="24" t="inlineStr">
        <is>
          <t>넙다리뼈거친선(위쪽)</t>
        </is>
      </c>
      <c r="G11" s="24" t="inlineStr">
        <is>
          <t>엉덩관절 모음</t>
        </is>
      </c>
      <c r="H11" s="24" t="inlineStr">
        <is>
          <t>폐쇄신경(L2-L4)</t>
        </is>
      </c>
      <c r="I11" s="24" t="inlineStr">
        <is>
          <t>폐쇄동맥</t>
        </is>
      </c>
      <c r="J11" s="24" t="inlineStr">
        <is>
          <t>긴모음근 심층(직접 촉진 어려움)</t>
        </is>
      </c>
      <c r="K11" s="24" t="inlineStr">
        <is>
          <t>긴모음근과 두덩근 사이에 위치, 폐쇄신경이 이 근육 앞·뒤로 나뉘어 주행</t>
        </is>
      </c>
      <c r="L11" s="25" t="n"/>
    </row>
    <row r="12" ht="37.5" customHeight="1">
      <c r="A12" s="22" t="inlineStr">
        <is>
          <t>☐</t>
        </is>
      </c>
      <c r="B12" s="23" t="inlineStr">
        <is>
          <t>안쪽칸(모음근군)</t>
        </is>
      </c>
      <c r="C12" s="24" t="inlineStr">
        <is>
          <t>큰모음근</t>
        </is>
      </c>
      <c r="D12" s="25" t="inlineStr">
        <is>
          <t>Adductor magnus</t>
        </is>
      </c>
      <c r="E12" s="24" t="inlineStr">
        <is>
          <t>모음근부분-궁둥뼈아래가지 / 뒤넙다리근부분(햄스트링부)-궁둥뼈결절</t>
        </is>
      </c>
      <c r="F12" s="24" t="inlineStr">
        <is>
          <t>넙다리뼈거친선·모음근결절</t>
        </is>
      </c>
      <c r="G12" s="24" t="inlineStr">
        <is>
          <t>모음(전체), 폄(뒤넙다리근부분)</t>
        </is>
      </c>
      <c r="H12" s="24" t="inlineStr">
        <is>
          <t>모음근부분-폐쇄신경 / 뒤넙다리근부분-정강신경(좌골신경, L2-S3)</t>
        </is>
      </c>
      <c r="I12" s="24" t="inlineStr">
        <is>
          <t>모음근동맥·깊은넙다리동맥 관통동맥</t>
        </is>
      </c>
      <c r="J12" s="24" t="inlineStr">
        <is>
          <t>넙다리 안쪽 깊은곳, 모음근결절 부위에서 힘줄 촉진</t>
        </is>
      </c>
      <c r="K12" s="24" t="inlineStr">
        <is>
          <t>모음근구멍(adductor hiatus, 모음근결절 부근)으로 넙다리동맥이 오금동맥이 되어 빠져나감</t>
        </is>
      </c>
      <c r="L12" s="25" t="n"/>
    </row>
    <row r="13" ht="37.5" customHeight="1">
      <c r="A13" s="22" t="inlineStr">
        <is>
          <t>☐</t>
        </is>
      </c>
      <c r="B13" s="23" t="inlineStr">
        <is>
          <t>뒤칸(햄스트링)</t>
        </is>
      </c>
      <c r="C13" s="24" t="inlineStr">
        <is>
          <t>넙다리두갈래근</t>
        </is>
      </c>
      <c r="D13" s="25" t="inlineStr">
        <is>
          <t>Biceps femoris</t>
        </is>
      </c>
      <c r="E13" s="24" t="inlineStr">
        <is>
          <t>긴갈래-궁둥뼈결절 / 짧은갈래-넙다리뼈거친선(가쪽)</t>
        </is>
      </c>
      <c r="F13" s="24" t="inlineStr">
        <is>
          <t>종아리뼈머리</t>
        </is>
      </c>
      <c r="G13" s="24" t="inlineStr">
        <is>
          <t>무릎 굽힘 + 가쪽돌림, 엉덩관절 폄(긴갈래)</t>
        </is>
      </c>
      <c r="H13" s="24" t="inlineStr">
        <is>
          <t>긴갈래-정강신경 / 짧은갈래-온종아리신경(둘다 좌골신경, L5-S2)</t>
        </is>
      </c>
      <c r="I13" s="24" t="inlineStr">
        <is>
          <t>깊은넙다리동맥의 관통동맥</t>
        </is>
      </c>
      <c r="J13" s="24" t="inlineStr">
        <is>
          <t>무릎 뒤가쪽에서 굽힐 때 뚜렷한 힘줄로 촉진(오금 가쪽 경계)</t>
        </is>
      </c>
      <c r="K13" s="24" t="inlineStr">
        <is>
          <t>궁둥신경이 긴갈래와 짧은갈래 사이로 나뉘어 하나는 정강신경 하나는 온종아리신경 지배(이중신경지배 대표 예)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뒤칸(햄스트링)</t>
        </is>
      </c>
      <c r="C14" s="24" t="inlineStr">
        <is>
          <t>반힘줄근</t>
        </is>
      </c>
      <c r="D14" s="25" t="inlineStr">
        <is>
          <t>Semitendinosus</t>
        </is>
      </c>
      <c r="E14" s="24" t="inlineStr">
        <is>
          <t>궁둥뼈결절</t>
        </is>
      </c>
      <c r="F14" s="24" t="inlineStr">
        <is>
          <t>정강뼈위안쪽면(거위발)</t>
        </is>
      </c>
      <c r="G14" s="24" t="inlineStr">
        <is>
          <t>무릎 굽힘 + 안쪽돌림, 엉덩관절 폄</t>
        </is>
      </c>
      <c r="H14" s="24" t="inlineStr">
        <is>
          <t>정강신경(좌골신경, L5-S2)</t>
        </is>
      </c>
      <c r="I14" s="24" t="inlineStr">
        <is>
          <t>관통동맥</t>
        </is>
      </c>
      <c r="J14" s="24" t="inlineStr">
        <is>
          <t>무릎 뒤안쪽, 오금 안쪽 경계에서 힘줄 촉진</t>
        </is>
      </c>
      <c r="K14" s="24" t="inlineStr">
        <is>
          <t>긴 힘줄이 특징적(이름의 유래), 거위발건 구성 힘줄 중 하나</t>
        </is>
      </c>
      <c r="L14" s="25" t="n"/>
    </row>
    <row r="15" ht="27.75" customHeight="1">
      <c r="A15" s="22" t="inlineStr">
        <is>
          <t>☐</t>
        </is>
      </c>
      <c r="B15" s="23" t="inlineStr">
        <is>
          <t>뒤칸(햄스트링)</t>
        </is>
      </c>
      <c r="C15" s="24" t="inlineStr">
        <is>
          <t>반막모양근</t>
        </is>
      </c>
      <c r="D15" s="25" t="inlineStr">
        <is>
          <t>Semimembranosus</t>
        </is>
      </c>
      <c r="E15" s="24" t="inlineStr">
        <is>
          <t>궁둥뼈결절</t>
        </is>
      </c>
      <c r="F15" s="24" t="inlineStr">
        <is>
          <t>정강뼈안쪽관절융기(뒤면)</t>
        </is>
      </c>
      <c r="G15" s="24" t="inlineStr">
        <is>
          <t>무릎 굽힘 + 안쪽돌림, 엉덩관절 폄</t>
        </is>
      </c>
      <c r="H15" s="24" t="inlineStr">
        <is>
          <t>정강신경(좌골신경, L5-S2)</t>
        </is>
      </c>
      <c r="I15" s="24" t="inlineStr">
        <is>
          <t>관통동맥</t>
        </is>
      </c>
      <c r="J15" s="24" t="inlineStr">
        <is>
          <t>반힘줄근 심층(넓적한 널힘줄로 촉진)</t>
        </is>
      </c>
      <c r="K15" s="24" t="inlineStr">
        <is>
          <t>무릎 뒤안쪽 관절주머니 보강(오금빗인대 형성)에 기여</t>
        </is>
      </c>
      <c r="L15" s="25" t="n"/>
    </row>
  </sheetData>
  <autoFilter ref="A2:L15"/>
  <mergeCells count="1">
    <mergeCell ref="A1:L1"/>
  </mergeCells>
  <dataValidations count="1">
    <dataValidation sqref="A3:A15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5F9EA0"/>
    <outlinePr summaryBelow="1" summaryRight="1"/>
    <pageSetUpPr/>
  </sheetPr>
  <dimension ref="A1:L1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1" t="inlineStr">
        <is>
          <t>종아리 (Leg)  —  근육 학습 체크리스트  (총 13개)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앞칸(발등굽힘)</t>
        </is>
      </c>
      <c r="C3" s="24" t="inlineStr">
        <is>
          <t>앞정강근</t>
        </is>
      </c>
      <c r="D3" s="25" t="inlineStr">
        <is>
          <t>Tibialis anterior</t>
        </is>
      </c>
      <c r="E3" s="24" t="inlineStr">
        <is>
          <t>정강뼈가쪽면위쪽, 뼈사이막</t>
        </is>
      </c>
      <c r="F3" s="24" t="inlineStr">
        <is>
          <t>안쪽쐐기뼈, 1번발허리뼈바닥</t>
        </is>
      </c>
      <c r="G3" s="24" t="inlineStr">
        <is>
          <t>발등굽힘 + 안쪽번짐(내번)</t>
        </is>
      </c>
      <c r="H3" s="24" t="inlineStr">
        <is>
          <t>깊은종아리신경(L4-L5)</t>
        </is>
      </c>
      <c r="I3" s="24" t="inlineStr">
        <is>
          <t>앞정강동맥</t>
        </is>
      </c>
      <c r="J3" s="24" t="inlineStr">
        <is>
          <t>정강뼈 가쪽에서 발을 당길 때 뚜렷이 촉진</t>
        </is>
      </c>
      <c r="K3" s="24" t="inlineStr">
        <is>
          <t>발처짐(foot drop)의 핵심 근육 — 마비 시 계상보행(steppage gait)</t>
        </is>
      </c>
      <c r="L3" s="25" t="n"/>
    </row>
    <row r="4" ht="27.75" customHeight="1">
      <c r="A4" s="22" t="inlineStr">
        <is>
          <t>☐</t>
        </is>
      </c>
      <c r="B4" s="23" t="inlineStr">
        <is>
          <t>앞칸(발등굽힘)</t>
        </is>
      </c>
      <c r="C4" s="24" t="inlineStr">
        <is>
          <t>긴발가락폄근</t>
        </is>
      </c>
      <c r="D4" s="25" t="inlineStr">
        <is>
          <t>Extensor digitorum longus</t>
        </is>
      </c>
      <c r="E4" s="24" t="inlineStr">
        <is>
          <t>정강뼈가쪽관절융기, 종아리뼈앞면</t>
        </is>
      </c>
      <c r="F4" s="25" t="inlineStr">
        <is>
          <t>2-5번발가락 폄근확장부</t>
        </is>
      </c>
      <c r="G4" s="24" t="inlineStr">
        <is>
          <t>발가락 폄 + 발등굽힘</t>
        </is>
      </c>
      <c r="H4" s="24" t="inlineStr">
        <is>
          <t>깊은종아리신경(L5-S1)</t>
        </is>
      </c>
      <c r="I4" s="24" t="inlineStr">
        <is>
          <t>앞정강동맥</t>
        </is>
      </c>
      <c r="J4" s="24" t="inlineStr">
        <is>
          <t>앞정강근 가쪽, 발가락 펼 때 힘줄 촉진</t>
        </is>
      </c>
      <c r="K4" s="24" t="inlineStr">
        <is>
          <t>발등에서 짧은발가락폄근과 힘줄이 합류</t>
        </is>
      </c>
      <c r="L4" s="25" t="n"/>
    </row>
    <row r="5" ht="27.75" customHeight="1">
      <c r="A5" s="22" t="inlineStr">
        <is>
          <t>☐</t>
        </is>
      </c>
      <c r="B5" s="23" t="inlineStr">
        <is>
          <t>앞칸(발등굽힘)</t>
        </is>
      </c>
      <c r="C5" s="24" t="inlineStr">
        <is>
          <t>긴엄지폄근</t>
        </is>
      </c>
      <c r="D5" s="25" t="inlineStr">
        <is>
          <t>Extensor hallucis longus</t>
        </is>
      </c>
      <c r="E5" s="24" t="inlineStr">
        <is>
          <t>종아리뼈안쪽면, 뼈사이막</t>
        </is>
      </c>
      <c r="F5" s="24" t="inlineStr">
        <is>
          <t>엄지발가락 끝마디뼈</t>
        </is>
      </c>
      <c r="G5" s="24" t="inlineStr">
        <is>
          <t>엄지 폄 + 발등굽힘</t>
        </is>
      </c>
      <c r="H5" s="24" t="inlineStr">
        <is>
          <t>깊은종아리신경(L5-S1)</t>
        </is>
      </c>
      <c r="I5" s="24" t="inlineStr">
        <is>
          <t>앞정강동맥</t>
        </is>
      </c>
      <c r="J5" s="24" t="inlineStr">
        <is>
          <t>발등 안쪽, 앞정강근과 긴발가락폄근 힘줄 사이 촉진</t>
        </is>
      </c>
      <c r="K5" s="24" t="inlineStr">
        <is>
          <t>발등동맥(발등맥박) 촉진의 가쪽 경계 지표</t>
        </is>
      </c>
      <c r="L5" s="25" t="n"/>
    </row>
    <row r="6" ht="27.75" customHeight="1">
      <c r="A6" s="22" t="inlineStr">
        <is>
          <t>☐</t>
        </is>
      </c>
      <c r="B6" s="23" t="inlineStr">
        <is>
          <t>앞칸(발등굽힘)</t>
        </is>
      </c>
      <c r="C6" s="24" t="inlineStr">
        <is>
          <t>셋째종아리근</t>
        </is>
      </c>
      <c r="D6" s="25" t="inlineStr">
        <is>
          <t>Fibularis tertius (Peroneus tertius)</t>
        </is>
      </c>
      <c r="E6" s="24" t="inlineStr">
        <is>
          <t>종아리뼈먼쪽앞면</t>
        </is>
      </c>
      <c r="F6" s="25" t="inlineStr">
        <is>
          <t>5번발허리뼈바닥</t>
        </is>
      </c>
      <c r="G6" s="24" t="inlineStr">
        <is>
          <t>발등굽힘 + 가쪽번짐(외번)</t>
        </is>
      </c>
      <c r="H6" s="24" t="inlineStr">
        <is>
          <t>깊은종아리신경(L5-S1)</t>
        </is>
      </c>
      <c r="I6" s="24" t="inlineStr">
        <is>
          <t>앞정강동맥</t>
        </is>
      </c>
      <c r="J6" s="24" t="inlineStr">
        <is>
          <t>발등 가쪽, 긴발가락폄근 힘줄 가쪽에서 촉진</t>
        </is>
      </c>
      <c r="K6" s="24" t="inlineStr">
        <is>
          <t>긴발가락폄근에서 갈라져 나온 것으로 간주(사람에서만 발달)</t>
        </is>
      </c>
      <c r="L6" s="25" t="n"/>
    </row>
    <row r="7" ht="37.5" customHeight="1">
      <c r="A7" s="22" t="inlineStr">
        <is>
          <t>☐</t>
        </is>
      </c>
      <c r="B7" s="23" t="inlineStr">
        <is>
          <t>가쪽칸(외번)</t>
        </is>
      </c>
      <c r="C7" s="24" t="inlineStr">
        <is>
          <t>긴종아리근</t>
        </is>
      </c>
      <c r="D7" s="25" t="inlineStr">
        <is>
          <t>Fibularis longus (Peroneus longus)</t>
        </is>
      </c>
      <c r="E7" s="24" t="inlineStr">
        <is>
          <t>종아리뼈머리·가쪽면위쪽</t>
        </is>
      </c>
      <c r="F7" s="24" t="inlineStr">
        <is>
          <t>안쪽쐐기뼈, 1번발허리뼈바닥(발바닥면)</t>
        </is>
      </c>
      <c r="G7" s="24" t="inlineStr">
        <is>
          <t>가쪽번짐 + 발바닥쪽굽힘 보조, 가로활 지지</t>
        </is>
      </c>
      <c r="H7" s="24" t="inlineStr">
        <is>
          <t>얕은종아리신경(L5-S1)</t>
        </is>
      </c>
      <c r="I7" s="24" t="inlineStr">
        <is>
          <t>종아리동맥</t>
        </is>
      </c>
      <c r="J7" s="24" t="inlineStr">
        <is>
          <t>종아리뼈머리 아래 가쪽에서 촉진(온종아리신경 촉진 랜드마크이기도 함)</t>
        </is>
      </c>
      <c r="K7" s="24" t="inlineStr">
        <is>
          <t>발바닥을 가로질러 안쪽쐐기뼈까지 주행 — 발 가로활 유지에 기여, 발목염좌(외측인대) 후 강화 대상</t>
        </is>
      </c>
      <c r="L7" s="25" t="n"/>
    </row>
    <row r="8" ht="27.75" customHeight="1">
      <c r="A8" s="22" t="inlineStr">
        <is>
          <t>☐</t>
        </is>
      </c>
      <c r="B8" s="23" t="inlineStr">
        <is>
          <t>가쪽칸(외번)</t>
        </is>
      </c>
      <c r="C8" s="24" t="inlineStr">
        <is>
          <t>짧은종아리근</t>
        </is>
      </c>
      <c r="D8" s="25" t="inlineStr">
        <is>
          <t>Fibularis brevis (Peroneus brevis)</t>
        </is>
      </c>
      <c r="E8" s="24" t="inlineStr">
        <is>
          <t>종아리뼈가쪽면아래</t>
        </is>
      </c>
      <c r="F8" s="25" t="inlineStr">
        <is>
          <t>5번발허리뼈거친면</t>
        </is>
      </c>
      <c r="G8" s="24" t="inlineStr">
        <is>
          <t>가쪽번짐</t>
        </is>
      </c>
      <c r="H8" s="24" t="inlineStr">
        <is>
          <t>얕은종아리신경(L5-S1)</t>
        </is>
      </c>
      <c r="I8" s="24" t="inlineStr">
        <is>
          <t>종아리동맥</t>
        </is>
      </c>
      <c r="J8" s="24" t="inlineStr">
        <is>
          <t>가쪽복사 뒤로 이어지는 힘줄을 5번발허리뼈까지 촉진</t>
        </is>
      </c>
      <c r="K8" s="24" t="inlineStr">
        <is>
          <t>가쪽 발목염좌 시 견열골절(5번발허리뼈거친면) 호발부위</t>
        </is>
      </c>
      <c r="L8" s="25" t="n"/>
    </row>
    <row r="9" ht="27.75" customHeight="1">
      <c r="A9" s="22" t="inlineStr">
        <is>
          <t>☐</t>
        </is>
      </c>
      <c r="B9" s="23" t="inlineStr">
        <is>
          <t>뒤칸 얕은층</t>
        </is>
      </c>
      <c r="C9" s="24" t="inlineStr">
        <is>
          <t>장딴지근</t>
        </is>
      </c>
      <c r="D9" s="25" t="inlineStr">
        <is>
          <t>Gastrocnemius</t>
        </is>
      </c>
      <c r="E9" s="24" t="inlineStr">
        <is>
          <t>안쪽·가쪽갈래-넙다리뼈 안쪽·가쪽관절융기</t>
        </is>
      </c>
      <c r="F9" s="24" t="inlineStr">
        <is>
          <t>발꿈치뼈(아킬레스건을 통해)</t>
        </is>
      </c>
      <c r="G9" s="24" t="inlineStr">
        <is>
          <t>발바닥쪽굽힘(강력) + 무릎 굽힘 보조</t>
        </is>
      </c>
      <c r="H9" s="24" t="inlineStr">
        <is>
          <t>정강신경(S1-S2)</t>
        </is>
      </c>
      <c r="I9" s="24" t="inlineStr">
        <is>
          <t>장딴지동맥</t>
        </is>
      </c>
      <c r="J9" s="24" t="inlineStr">
        <is>
          <t>종아리 뒤 두 갈래 볼록한 근육으로 쉽게 촉진</t>
        </is>
      </c>
      <c r="K9" s="24" t="inlineStr">
        <is>
          <t>아킬레스건파열 호발근(까치발 유발검사), 무릎을 펴야 최대 힘 발휘(이관절근)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뒤칸 얕은층</t>
        </is>
      </c>
      <c r="C10" s="24" t="inlineStr">
        <is>
          <t>가자미근</t>
        </is>
      </c>
      <c r="D10" s="25" t="inlineStr">
        <is>
          <t>Soleus</t>
        </is>
      </c>
      <c r="E10" s="24" t="inlineStr">
        <is>
          <t>종아리뼈머리·뒤면, 정강뼈 가자미근선</t>
        </is>
      </c>
      <c r="F10" s="24" t="inlineStr">
        <is>
          <t>발꿈치뼈(아킬레스건)</t>
        </is>
      </c>
      <c r="G10" s="24" t="inlineStr">
        <is>
          <t>발바닥쪽굽힘(직립자세 유지의 주근)</t>
        </is>
      </c>
      <c r="H10" s="24" t="inlineStr">
        <is>
          <t>정강신경(S1-S2)</t>
        </is>
      </c>
      <c r="I10" s="24" t="inlineStr">
        <is>
          <t>뒤정강동맥·종아리동맥</t>
        </is>
      </c>
      <c r="J10" s="24" t="inlineStr">
        <is>
          <t>장딴지근 아래가쪽 가장자리에서 촉진(무릎 굽힌 채 확인)</t>
        </is>
      </c>
      <c r="K10" s="25" t="inlineStr">
        <is>
          <t>'제2의 심장'(정맥환류 펌프), 지구성 자세근으로 느린연축섬유 우세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뒤칸 얕은층</t>
        </is>
      </c>
      <c r="C11" s="24" t="inlineStr">
        <is>
          <t>장딴지빗근</t>
        </is>
      </c>
      <c r="D11" s="25" t="inlineStr">
        <is>
          <t>Plantaris</t>
        </is>
      </c>
      <c r="E11" s="24" t="inlineStr">
        <is>
          <t>넙다리뼈가쪽관절융기위</t>
        </is>
      </c>
      <c r="F11" s="24" t="inlineStr">
        <is>
          <t>발꿈치뼈(아킬레스건 안쪽)</t>
        </is>
      </c>
      <c r="G11" s="24" t="inlineStr">
        <is>
          <t>발바닥쪽굽힘 보조(미약, 힘줄이 가늘고 김)</t>
        </is>
      </c>
      <c r="H11" s="24" t="inlineStr">
        <is>
          <t>정강신경(S1-S2)</t>
        </is>
      </c>
      <c r="I11" s="24" t="inlineStr">
        <is>
          <t>오금동맥</t>
        </is>
      </c>
      <c r="J11" s="24" t="inlineStr">
        <is>
          <t>체표 촉진 거의 불가(근복이 매우 작음)</t>
        </is>
      </c>
      <c r="K11" s="24" t="inlineStr">
        <is>
          <t>약 10%는 결여, 가늘고 긴 힘줄은 이식건으로 활용, '테니스레그' 손상과 감별 필요</t>
        </is>
      </c>
      <c r="L11" s="25" t="n"/>
    </row>
    <row r="12" ht="27.75" customHeight="1">
      <c r="A12" s="22" t="inlineStr">
        <is>
          <t>☐</t>
        </is>
      </c>
      <c r="B12" s="23" t="inlineStr">
        <is>
          <t>뒤칸 깊은층</t>
        </is>
      </c>
      <c r="C12" s="24" t="inlineStr">
        <is>
          <t>오금근</t>
        </is>
      </c>
      <c r="D12" s="25" t="inlineStr">
        <is>
          <t>Popliteus</t>
        </is>
      </c>
      <c r="E12" s="24" t="inlineStr">
        <is>
          <t>넙다리뼈가쪽관절융기</t>
        </is>
      </c>
      <c r="F12" s="24" t="inlineStr">
        <is>
          <t>정강뼈뒤면(가자미근선 위쪽)</t>
        </is>
      </c>
      <c r="G12" s="24" t="inlineStr">
        <is>
          <t>무릎 굽힘 개시('unlock'), 가쪽반달연골을 뒤로 당김</t>
        </is>
      </c>
      <c r="H12" s="24" t="inlineStr">
        <is>
          <t>정강신경(L4-S1)</t>
        </is>
      </c>
      <c r="I12" s="24" t="inlineStr">
        <is>
          <t>오금동맥</t>
        </is>
      </c>
      <c r="J12" s="24" t="inlineStr">
        <is>
          <t>오금(popliteal fossa) 아래 깊은곳(직접 촉진 어려움)</t>
        </is>
      </c>
      <c r="K12" s="24" t="inlineStr">
        <is>
          <t>무릎 펴진 상태에서 잠김을 푸는 '열쇠' 근육으로 시험 단골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뒤칸 깊은층</t>
        </is>
      </c>
      <c r="C13" s="24" t="inlineStr">
        <is>
          <t>긴발가락굽힘근</t>
        </is>
      </c>
      <c r="D13" s="25" t="inlineStr">
        <is>
          <t>Flexor digitorum longus</t>
        </is>
      </c>
      <c r="E13" s="24" t="inlineStr">
        <is>
          <t>정강뼈뒤면</t>
        </is>
      </c>
      <c r="F13" s="25" t="inlineStr">
        <is>
          <t>2-5번발가락 끝마디뼈</t>
        </is>
      </c>
      <c r="G13" s="24" t="inlineStr">
        <is>
          <t>발가락 굽힘, 발바닥쪽굽힘 보조</t>
        </is>
      </c>
      <c r="H13" s="24" t="inlineStr">
        <is>
          <t>정강신경(L5-S2)</t>
        </is>
      </c>
      <c r="I13" s="24" t="inlineStr">
        <is>
          <t>뒤정강동맥</t>
        </is>
      </c>
      <c r="J13" s="24" t="inlineStr">
        <is>
          <t>안쪽복사 뒤에서 뒤정강근·긴엄지굽힘근 사이 간접 촉진</t>
        </is>
      </c>
      <c r="K13" s="24" t="inlineStr">
        <is>
          <t>발바닥에서 긴엄지굽힘근 힘줄과 교차(Henry결절)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뒤칸 깊은층</t>
        </is>
      </c>
      <c r="C14" s="24" t="inlineStr">
        <is>
          <t>긴엄지굽힘근</t>
        </is>
      </c>
      <c r="D14" s="25" t="inlineStr">
        <is>
          <t>Flexor hallucis longus</t>
        </is>
      </c>
      <c r="E14" s="24" t="inlineStr">
        <is>
          <t>종아리뼈뒤면</t>
        </is>
      </c>
      <c r="F14" s="24" t="inlineStr">
        <is>
          <t>엄지발가락 끝마디뼈</t>
        </is>
      </c>
      <c r="G14" s="24" t="inlineStr">
        <is>
          <t>엄지 굽힘, 발바닥쪽굽힘 보조('푸시오프'에 중요)</t>
        </is>
      </c>
      <c r="H14" s="24" t="inlineStr">
        <is>
          <t>정강신경(L5-S2)</t>
        </is>
      </c>
      <c r="I14" s="24" t="inlineStr">
        <is>
          <t>종아리동맥</t>
        </is>
      </c>
      <c r="J14" s="24" t="inlineStr">
        <is>
          <t>발목 뒤안쪽 깊은곳(직접 촉진 어려움)</t>
        </is>
      </c>
      <c r="K14" s="24" t="inlineStr">
        <is>
          <t>발레무용수의 '까치발' 동작 핵심근(distal glide 손상 흔함)</t>
        </is>
      </c>
      <c r="L14" s="25" t="n"/>
    </row>
    <row r="15" ht="27.75" customHeight="1">
      <c r="A15" s="22" t="inlineStr">
        <is>
          <t>☐</t>
        </is>
      </c>
      <c r="B15" s="23" t="inlineStr">
        <is>
          <t>뒤칸 깊은층</t>
        </is>
      </c>
      <c r="C15" s="24" t="inlineStr">
        <is>
          <t>뒤정강근</t>
        </is>
      </c>
      <c r="D15" s="25" t="inlineStr">
        <is>
          <t>Tibialis posterior</t>
        </is>
      </c>
      <c r="E15" s="24" t="inlineStr">
        <is>
          <t>정강뼈·종아리뼈뒤면·뼈사이막</t>
        </is>
      </c>
      <c r="F15" s="24" t="inlineStr">
        <is>
          <t>발배뼈, 쐐기뼈들(주로), 발허리뼈바닥 일부</t>
        </is>
      </c>
      <c r="G15" s="24" t="inlineStr">
        <is>
          <t>발바닥쪽굽힘 + 안쪽번짐, 안쪽세로활 지지(주근)</t>
        </is>
      </c>
      <c r="H15" s="24" t="inlineStr">
        <is>
          <t>정강신경(L4-L5)</t>
        </is>
      </c>
      <c r="I15" s="24" t="inlineStr">
        <is>
          <t>뒤정강동맥</t>
        </is>
      </c>
      <c r="J15" s="24" t="inlineStr">
        <is>
          <t>안쪽복사 바로 뒤에서 가장 앞쪽 힘줄로 촉진</t>
        </is>
      </c>
      <c r="K15" s="24" t="inlineStr">
        <is>
          <t>기능부전 시 성인 후천성 편평발(flatfoot)의 가장 흔한 원인</t>
        </is>
      </c>
      <c r="L15" s="25" t="n"/>
    </row>
  </sheetData>
  <autoFilter ref="A2:L15"/>
  <mergeCells count="1">
    <mergeCell ref="A1:L1"/>
  </mergeCells>
  <dataValidations count="1">
    <dataValidation sqref="A3:A15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A6A6D6"/>
    <outlinePr summaryBelow="1" summaryRight="1"/>
    <pageSetUpPr/>
  </sheetPr>
  <dimension ref="A1:L1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/>
  <cols>
    <col width="7" customWidth="1" min="1" max="1"/>
    <col width="13" customWidth="1" min="2" max="2"/>
    <col width="19" customWidth="1" min="3" max="3"/>
    <col width="27" customWidth="1" min="4" max="4"/>
    <col width="30" customWidth="1" min="5" max="6"/>
    <col width="28" customWidth="1" min="7" max="7"/>
    <col width="20" customWidth="1" min="8" max="9"/>
    <col width="28" customWidth="1" min="10" max="10"/>
    <col width="34" customWidth="1" min="11" max="11"/>
    <col width="20" customWidth="1" min="12" max="12"/>
  </cols>
  <sheetData>
    <row r="1" ht="30" customHeight="1">
      <c r="A1" s="26" t="inlineStr">
        <is>
          <t>발 (Foot)  —  근육 학습 체크리스트  (총 12개)</t>
        </is>
      </c>
    </row>
    <row r="2" ht="24" customHeight="1">
      <c r="A2" s="15" t="inlineStr">
        <is>
          <t>체크</t>
        </is>
      </c>
      <c r="B2" s="15" t="inlineStr">
        <is>
          <t>그룹</t>
        </is>
      </c>
      <c r="C2" s="15" t="inlineStr">
        <is>
          <t>근육명(한글)</t>
        </is>
      </c>
      <c r="D2" s="15" t="inlineStr">
        <is>
          <t>근육명(영문)</t>
        </is>
      </c>
      <c r="E2" s="15" t="inlineStr">
        <is>
          <t>이는곳(기시)</t>
        </is>
      </c>
      <c r="F2" s="15" t="inlineStr">
        <is>
          <t>닿는곳(정지)</t>
        </is>
      </c>
      <c r="G2" s="15" t="inlineStr">
        <is>
          <t>작용</t>
        </is>
      </c>
      <c r="H2" s="15" t="inlineStr">
        <is>
          <t>지배신경</t>
        </is>
      </c>
      <c r="I2" s="15" t="inlineStr">
        <is>
          <t>혈액공급</t>
        </is>
      </c>
      <c r="J2" s="15" t="inlineStr">
        <is>
          <t>촉진 포인트</t>
        </is>
      </c>
      <c r="K2" s="15" t="inlineStr">
        <is>
          <t>임상 포인트</t>
        </is>
      </c>
      <c r="L2" s="15" t="inlineStr">
        <is>
          <t>메모</t>
        </is>
      </c>
    </row>
    <row r="3" ht="27.75" customHeight="1">
      <c r="A3" s="22" t="inlineStr">
        <is>
          <t>☐</t>
        </is>
      </c>
      <c r="B3" s="23" t="inlineStr">
        <is>
          <t>발등</t>
        </is>
      </c>
      <c r="C3" s="24" t="inlineStr">
        <is>
          <t>짧은발가락폄근</t>
        </is>
      </c>
      <c r="D3" s="25" t="inlineStr">
        <is>
          <t>Extensor digitorum brevis</t>
        </is>
      </c>
      <c r="E3" s="24" t="inlineStr">
        <is>
          <t>발꿈치뼈 위가쪽면</t>
        </is>
      </c>
      <c r="F3" s="25" t="inlineStr">
        <is>
          <t>2-4번발가락(긴폄근힘줄과 합류)</t>
        </is>
      </c>
      <c r="G3" s="25" t="inlineStr">
        <is>
          <t>2-4번 발가락 폄 보조</t>
        </is>
      </c>
      <c r="H3" s="24" t="inlineStr">
        <is>
          <t>깊은종아리신경(S1-S2)</t>
        </is>
      </c>
      <c r="I3" s="24" t="inlineStr">
        <is>
          <t>가쪽발등동맥</t>
        </is>
      </c>
      <c r="J3" s="24" t="inlineStr">
        <is>
          <t>가쪽복사 앞아래 작은 융기로 촉진(발등에서 유일하게 만져지는 내재근)</t>
        </is>
      </c>
      <c r="K3" s="24" t="inlineStr">
        <is>
          <t>발목염좌와 혼동되기 쉬운 부어오름의 원인(외상 시 이 근육 자체 손상 가능)</t>
        </is>
      </c>
      <c r="L3" s="25" t="n"/>
    </row>
    <row r="4" ht="27.75" customHeight="1">
      <c r="A4" s="22" t="inlineStr">
        <is>
          <t>☐</t>
        </is>
      </c>
      <c r="B4" s="23" t="inlineStr">
        <is>
          <t>발등</t>
        </is>
      </c>
      <c r="C4" s="24" t="inlineStr">
        <is>
          <t>짧은엄지폄근</t>
        </is>
      </c>
      <c r="D4" s="25" t="inlineStr">
        <is>
          <t>Extensor hallucis brevis</t>
        </is>
      </c>
      <c r="E4" s="24" t="inlineStr">
        <is>
          <t>발꿈치뼈 위가쪽면</t>
        </is>
      </c>
      <c r="F4" s="24" t="inlineStr">
        <is>
          <t>엄지발가락 첫마디뼈</t>
        </is>
      </c>
      <c r="G4" s="24" t="inlineStr">
        <is>
          <t>엄지 폄 보조</t>
        </is>
      </c>
      <c r="H4" s="24" t="inlineStr">
        <is>
          <t>깊은종아리신경(S1-S2)</t>
        </is>
      </c>
      <c r="I4" s="24" t="inlineStr">
        <is>
          <t>발등동맥</t>
        </is>
      </c>
      <c r="J4" s="24" t="inlineStr">
        <is>
          <t>짧은발가락폄근의 가장 안쪽 부분으로 간주, 함께 촉진</t>
        </is>
      </c>
      <c r="K4" s="24" t="inlineStr">
        <is>
          <t>짧은발가락폄근의 엄지 부분으로 별도 분리해 서술되기도 함</t>
        </is>
      </c>
      <c r="L4" s="25" t="n"/>
    </row>
    <row r="5" ht="37.5" customHeight="1">
      <c r="A5" s="22" t="inlineStr">
        <is>
          <t>☐</t>
        </is>
      </c>
      <c r="B5" s="23" t="inlineStr">
        <is>
          <t>발바닥 1층</t>
        </is>
      </c>
      <c r="C5" s="24" t="inlineStr">
        <is>
          <t>엄지벌림근</t>
        </is>
      </c>
      <c r="D5" s="25" t="inlineStr">
        <is>
          <t>Abductor hallucis</t>
        </is>
      </c>
      <c r="E5" s="24" t="inlineStr">
        <is>
          <t>발꿈치뼈 안쪽돌기</t>
        </is>
      </c>
      <c r="F5" s="24" t="inlineStr">
        <is>
          <t>엄지발가락 첫마디뼈바닥(안쪽)</t>
        </is>
      </c>
      <c r="G5" s="24" t="inlineStr">
        <is>
          <t>엄지 벌림, 안쪽세로활 지지</t>
        </is>
      </c>
      <c r="H5" s="24" t="inlineStr">
        <is>
          <t>안쪽발바닥신경(정강신경 분지, S1-S2)</t>
        </is>
      </c>
      <c r="I5" s="24" t="inlineStr">
        <is>
          <t>안쪽발바닥동맥</t>
        </is>
      </c>
      <c r="J5" s="24" t="inlineStr">
        <is>
          <t>발 안쪽 세로활을 따라 뚜렷이 촉진</t>
        </is>
      </c>
      <c r="K5" s="24" t="inlineStr">
        <is>
          <t>발바닥근막염 평가 시 함께 촉진되는 대표근, 무지외반증(hallux valgus) 재활의 강화 표적근</t>
        </is>
      </c>
      <c r="L5" s="25" t="n"/>
    </row>
    <row r="6" ht="27.75" customHeight="1">
      <c r="A6" s="22" t="inlineStr">
        <is>
          <t>☐</t>
        </is>
      </c>
      <c r="B6" s="23" t="inlineStr">
        <is>
          <t>발바닥 1층</t>
        </is>
      </c>
      <c r="C6" s="24" t="inlineStr">
        <is>
          <t>짧은발가락굽힘근</t>
        </is>
      </c>
      <c r="D6" s="25" t="inlineStr">
        <is>
          <t>Flexor digitorum brevis</t>
        </is>
      </c>
      <c r="E6" s="24" t="inlineStr">
        <is>
          <t>발꿈치뼈결절</t>
        </is>
      </c>
      <c r="F6" s="25" t="inlineStr">
        <is>
          <t>2-5번발가락 중간마디뼈</t>
        </is>
      </c>
      <c r="G6" s="24" t="inlineStr">
        <is>
          <t>발가락 굽힘(PIP)</t>
        </is>
      </c>
      <c r="H6" s="24" t="inlineStr">
        <is>
          <t>안쪽발바닥신경(S1-S2)</t>
        </is>
      </c>
      <c r="I6" s="24" t="inlineStr">
        <is>
          <t>안쪽발바닥동맥</t>
        </is>
      </c>
      <c r="J6" s="24" t="inlineStr">
        <is>
          <t>발바닥 중앙, 발가락 굽힐 때 아치 중심에서 간접 촉진</t>
        </is>
      </c>
      <c r="K6" s="24" t="inlineStr">
        <is>
          <t>발바닥근막과 함께 발꿈치뼈에서 기시 — 발꿈치통증(족저근막염)과 해부학적으로 인접</t>
        </is>
      </c>
      <c r="L6" s="25" t="n"/>
    </row>
    <row r="7" ht="27.75" customHeight="1">
      <c r="A7" s="22" t="inlineStr">
        <is>
          <t>☐</t>
        </is>
      </c>
      <c r="B7" s="23" t="inlineStr">
        <is>
          <t>발바닥 1층</t>
        </is>
      </c>
      <c r="C7" s="24" t="inlineStr">
        <is>
          <t>새끼벌림근</t>
        </is>
      </c>
      <c r="D7" s="25" t="inlineStr">
        <is>
          <t>Abductor digiti minimi</t>
        </is>
      </c>
      <c r="E7" s="24" t="inlineStr">
        <is>
          <t>발꿈치뼈결절</t>
        </is>
      </c>
      <c r="F7" s="24" t="inlineStr">
        <is>
          <t>새끼발가락 첫마디뼈바닥</t>
        </is>
      </c>
      <c r="G7" s="24" t="inlineStr">
        <is>
          <t>새끼발가락 벌림, 가쪽세로활 지지</t>
        </is>
      </c>
      <c r="H7" s="24" t="inlineStr">
        <is>
          <t>가쪽발바닥신경(S1-S2)</t>
        </is>
      </c>
      <c r="I7" s="24" t="inlineStr">
        <is>
          <t>가쪽발바닥동맥</t>
        </is>
      </c>
      <c r="J7" s="24" t="inlineStr">
        <is>
          <t>발 가쪽모서리를 따라 촉진</t>
        </is>
      </c>
      <c r="K7" s="24" t="inlineStr">
        <is>
          <t>재단사 무지외반증(bunionette) 부위와 인접</t>
        </is>
      </c>
      <c r="L7" s="25" t="n"/>
    </row>
    <row r="8" ht="27.75" customHeight="1">
      <c r="A8" s="22" t="inlineStr">
        <is>
          <t>☐</t>
        </is>
      </c>
      <c r="B8" s="23" t="inlineStr">
        <is>
          <t>발바닥 2층</t>
        </is>
      </c>
      <c r="C8" s="24" t="inlineStr">
        <is>
          <t>발바닥네모근</t>
        </is>
      </c>
      <c r="D8" s="25" t="inlineStr">
        <is>
          <t>Quadratus plantae</t>
        </is>
      </c>
      <c r="E8" s="24" t="inlineStr">
        <is>
          <t>발꿈치뼈(안쪽·가쪽머리)</t>
        </is>
      </c>
      <c r="F8" s="24" t="inlineStr">
        <is>
          <t>긴발가락굽힘근힘줄(가쪽모서리)</t>
        </is>
      </c>
      <c r="G8" s="24" t="inlineStr">
        <is>
          <t>긴발가락굽힘근의 당김 방향을 교정(부착 보조근)</t>
        </is>
      </c>
      <c r="H8" s="24" t="inlineStr">
        <is>
          <t>가쪽발바닥신경(S1-S2)</t>
        </is>
      </c>
      <c r="I8" s="24" t="inlineStr">
        <is>
          <t>가쪽발바닥동맥</t>
        </is>
      </c>
      <c r="J8" s="24" t="inlineStr">
        <is>
          <t>발바닥 중앙 깊은곳(직접 촉진 어려움)</t>
        </is>
      </c>
      <c r="K8" s="24" t="inlineStr">
        <is>
          <t>긴발가락굽힘근이 비스듬히 당기는 힘을 발가락 축과 일직선으로 바로잡는 '보정근'</t>
        </is>
      </c>
      <c r="L8" s="25" t="n"/>
    </row>
    <row r="9" ht="27.75" customHeight="1">
      <c r="A9" s="22" t="inlineStr">
        <is>
          <t>☐</t>
        </is>
      </c>
      <c r="B9" s="23" t="inlineStr">
        <is>
          <t>발바닥 2층</t>
        </is>
      </c>
      <c r="C9" s="24" t="inlineStr">
        <is>
          <t>벌레근(4개)</t>
        </is>
      </c>
      <c r="D9" s="25" t="inlineStr">
        <is>
          <t>Lumbricals</t>
        </is>
      </c>
      <c r="E9" s="24" t="inlineStr">
        <is>
          <t>긴발가락굽힘근힘줄</t>
        </is>
      </c>
      <c r="F9" s="24" t="inlineStr">
        <is>
          <t>폄근확장부(안쪽)</t>
        </is>
      </c>
      <c r="G9" s="24" t="inlineStr">
        <is>
          <t>발허리발가락관절(MTP) 굽힘 + 발가락뼈사이관절(IP) 폄</t>
        </is>
      </c>
      <c r="H9" s="25" t="inlineStr">
        <is>
          <t>1번-안쪽발바닥신경 / 2-4번-가쪽발바닥신경</t>
        </is>
      </c>
      <c r="I9" s="24" t="inlineStr">
        <is>
          <t>발바닥동맥활</t>
        </is>
      </c>
      <c r="J9" s="24" t="inlineStr">
        <is>
          <t>발허리뼈 사이에서 간접 촉진</t>
        </is>
      </c>
      <c r="K9" s="24" t="inlineStr">
        <is>
          <t>손의 벌레근과 상동(相同)근육, 갈퀴족(claw toe) 변형과 관련</t>
        </is>
      </c>
      <c r="L9" s="25" t="n"/>
    </row>
    <row r="10" ht="27.75" customHeight="1">
      <c r="A10" s="22" t="inlineStr">
        <is>
          <t>☐</t>
        </is>
      </c>
      <c r="B10" s="23" t="inlineStr">
        <is>
          <t>발바닥 3층</t>
        </is>
      </c>
      <c r="C10" s="24" t="inlineStr">
        <is>
          <t>짧은엄지굽힘근</t>
        </is>
      </c>
      <c r="D10" s="25" t="inlineStr">
        <is>
          <t>Flexor hallucis brevis</t>
        </is>
      </c>
      <c r="E10" s="24" t="inlineStr">
        <is>
          <t>안쪽쐐기뼈</t>
        </is>
      </c>
      <c r="F10" s="24" t="inlineStr">
        <is>
          <t>엄지발가락 첫마디뼈바닥(양쪽갈래, 종자뼈 포함)</t>
        </is>
      </c>
      <c r="G10" s="24" t="inlineStr">
        <is>
          <t>엄지 발허리발가락관절(MTP) 굽힘</t>
        </is>
      </c>
      <c r="H10" s="24" t="inlineStr">
        <is>
          <t>안쪽발바닥신경(S1-S2)</t>
        </is>
      </c>
      <c r="I10" s="24" t="inlineStr">
        <is>
          <t>안쪽발바닥동맥</t>
        </is>
      </c>
      <c r="J10" s="24" t="inlineStr">
        <is>
          <t>엄지두덩 아래쪽, 두 개의 종자뼈 부위에서 촉진</t>
        </is>
      </c>
      <c r="K10" s="24" t="inlineStr">
        <is>
          <t>두 개의 종자뼈(medial/lateral sesamoid)를 품고 있어 종자뼈염과 감별 필요</t>
        </is>
      </c>
      <c r="L10" s="25" t="n"/>
    </row>
    <row r="11" ht="27.75" customHeight="1">
      <c r="A11" s="22" t="inlineStr">
        <is>
          <t>☐</t>
        </is>
      </c>
      <c r="B11" s="23" t="inlineStr">
        <is>
          <t>발바닥 3층</t>
        </is>
      </c>
      <c r="C11" s="24" t="inlineStr">
        <is>
          <t>엄지모음근</t>
        </is>
      </c>
      <c r="D11" s="25" t="inlineStr">
        <is>
          <t>Adductor hallucis</t>
        </is>
      </c>
      <c r="E11" s="24" t="inlineStr">
        <is>
          <t>빗갈래-2/3/4번발허리뼈바닥 / 가로갈래-3-5번 MTP관절</t>
        </is>
      </c>
      <c r="F11" s="24" t="inlineStr">
        <is>
          <t>엄지발가락 첫마디뼈바닥(가쪽)</t>
        </is>
      </c>
      <c r="G11" s="24" t="inlineStr">
        <is>
          <t>엄지 모음, 발 가로활 지지</t>
        </is>
      </c>
      <c r="H11" s="24" t="inlineStr">
        <is>
          <t>가쪽발바닥신경 깊은가지(S2-S3)</t>
        </is>
      </c>
      <c r="I11" s="24" t="inlineStr">
        <is>
          <t>발바닥동맥활</t>
        </is>
      </c>
      <c r="J11" s="24" t="inlineStr">
        <is>
          <t>발바닥 앞쪽 깊은곳(직접 촉진 어려움)</t>
        </is>
      </c>
      <c r="K11" s="24" t="inlineStr">
        <is>
          <t>무지외반증(hallux valgus) 변형에서 엄지를 가쪽으로 당기는 데 관여하는 근육</t>
        </is>
      </c>
      <c r="L11" s="25" t="n"/>
    </row>
    <row r="12" ht="27.75" customHeight="1">
      <c r="A12" s="22" t="inlineStr">
        <is>
          <t>☐</t>
        </is>
      </c>
      <c r="B12" s="23" t="inlineStr">
        <is>
          <t>발바닥 3층</t>
        </is>
      </c>
      <c r="C12" s="24" t="inlineStr">
        <is>
          <t>짧은새끼굽힘근</t>
        </is>
      </c>
      <c r="D12" s="25" t="inlineStr">
        <is>
          <t>Flexor digiti minimi brevis</t>
        </is>
      </c>
      <c r="E12" s="25" t="inlineStr">
        <is>
          <t>5번발허리뼈바닥</t>
        </is>
      </c>
      <c r="F12" s="24" t="inlineStr">
        <is>
          <t>새끼발가락 첫마디뼈바닥</t>
        </is>
      </c>
      <c r="G12" s="24" t="inlineStr">
        <is>
          <t>새끼발가락 MTP 굽힘</t>
        </is>
      </c>
      <c r="H12" s="24" t="inlineStr">
        <is>
          <t>가쪽발바닥신경(S2-S3)</t>
        </is>
      </c>
      <c r="I12" s="24" t="inlineStr">
        <is>
          <t>가쪽발바닥동맥</t>
        </is>
      </c>
      <c r="J12" s="24" t="inlineStr">
        <is>
          <t>발 가쪽모서리 새끼두덩에서 촉진</t>
        </is>
      </c>
      <c r="K12" s="24" t="inlineStr">
        <is>
          <t>손의 짧은새끼굽힘근과 상동근육</t>
        </is>
      </c>
      <c r="L12" s="25" t="n"/>
    </row>
    <row r="13" ht="27.75" customHeight="1">
      <c r="A13" s="22" t="inlineStr">
        <is>
          <t>☐</t>
        </is>
      </c>
      <c r="B13" s="23" t="inlineStr">
        <is>
          <t>발바닥 4층</t>
        </is>
      </c>
      <c r="C13" s="24" t="inlineStr">
        <is>
          <t>발등쪽뼈사이근(4개)</t>
        </is>
      </c>
      <c r="D13" s="25" t="inlineStr">
        <is>
          <t>Dorsal interossei</t>
        </is>
      </c>
      <c r="E13" s="24" t="inlineStr">
        <is>
          <t>인접한 발허리뼈 양쪽면</t>
        </is>
      </c>
      <c r="F13" s="25" t="inlineStr">
        <is>
          <t>2번(양쪽)·3·4번(가쪽) 발가락뼈사이</t>
        </is>
      </c>
      <c r="G13" s="24" t="inlineStr">
        <is>
          <t>발가락 벌림(둘째발가락 축 기준 외전)</t>
        </is>
      </c>
      <c r="H13" s="24" t="inlineStr">
        <is>
          <t>가쪽발바닥신경(S2-S3)</t>
        </is>
      </c>
      <c r="I13" s="24" t="inlineStr">
        <is>
          <t>발등쪽동맥활</t>
        </is>
      </c>
      <c r="J13" s="24" t="inlineStr">
        <is>
          <t>발등 발허리뼈 사이 골짜기에서 간접 촉진</t>
        </is>
      </c>
      <c r="K13" s="24" t="inlineStr">
        <is>
          <t>손과 달리 둘째발가락이 중심축(발은 셋째손가락이 아닌 둘째발가락 기준)</t>
        </is>
      </c>
      <c r="L13" s="25" t="n"/>
    </row>
    <row r="14" ht="27.75" customHeight="1">
      <c r="A14" s="22" t="inlineStr">
        <is>
          <t>☐</t>
        </is>
      </c>
      <c r="B14" s="23" t="inlineStr">
        <is>
          <t>발바닥 4층</t>
        </is>
      </c>
      <c r="C14" s="24" t="inlineStr">
        <is>
          <t>발바닥쪽뼈사이근(3개)</t>
        </is>
      </c>
      <c r="D14" s="25" t="inlineStr">
        <is>
          <t>Plantar interossei</t>
        </is>
      </c>
      <c r="E14" s="25" t="inlineStr">
        <is>
          <t>3-5번발허리뼈</t>
        </is>
      </c>
      <c r="F14" s="24" t="inlineStr">
        <is>
          <t>같은 발가락 안쪽(둘째발가락 축 방향)</t>
        </is>
      </c>
      <c r="G14" s="24" t="inlineStr">
        <is>
          <t>발가락 모음(둘째발가락 축 기준 내전)</t>
        </is>
      </c>
      <c r="H14" s="24" t="inlineStr">
        <is>
          <t>가쪽발바닥신경(S2-S3)</t>
        </is>
      </c>
      <c r="I14" s="24" t="inlineStr">
        <is>
          <t>발바닥동맥활</t>
        </is>
      </c>
      <c r="J14" s="24" t="inlineStr">
        <is>
          <t>발바닥 가장 깊은층(직접 촉진 불가)</t>
        </is>
      </c>
      <c r="K14" s="25" t="inlineStr">
        <is>
          <t>'PAD'(모음)-'DAB'(벌림) 암기법이 발에서도 동일하게 적용(단, 축은 둘째발가락)</t>
        </is>
      </c>
      <c r="L14" s="25" t="n"/>
    </row>
  </sheetData>
  <autoFilter ref="A2:L14"/>
  <mergeCells count="1">
    <mergeCell ref="A1:L1"/>
  </mergeCells>
  <dataValidations count="1">
    <dataValidation sqref="A3:A14" showDropDown="0" showInputMessage="0" showErrorMessage="0" allowBlank="1" type="list">
      <formula1>"☐,☑"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2026-07-21T03:50:27Z</dcterms:created>
  <dcterms:modified xsi:type="dcterms:W3CDTF">2026-09-14T22:42:16Z</dcterms:modified>
  <cp:lastModifiedBy>이재환</cp:lastModifiedBy>
  <cp:revision>0</cp:revision>
</cp:coreProperties>
</file>